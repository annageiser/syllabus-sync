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defaultThemeVersion="166925"/>
  <mc:AlternateContent xmlns:mc="http://schemas.openxmlformats.org/markup-compatibility/2006">
    <mc:Choice Requires="x15">
      <x15ac:absPath xmlns:x15ac="http://schemas.microsoft.com/office/spreadsheetml/2010/11/ac" url="S:\HSW\A1912_Ausbildung\A1912_BA_Ausbildung\Prüfungswesen\1 Prüfungen\0 HS25\Prüfungsplan\publiziert\"/>
    </mc:Choice>
  </mc:AlternateContent>
  <xr:revisionPtr revIDLastSave="3" documentId="13_ncr:1_{7717258C-139B-4B5F-9C97-94F15CBE8100}" xr6:coauthVersionLast="47" xr6:coauthVersionMax="47" xr10:uidLastSave="{37C3FD85-7B60-40D6-9FA6-5B8417A4E7AE}"/>
  <bookViews>
    <workbookView xWindow="-28995" yWindow="-120" windowWidth="29040" windowHeight="15720" xr2:uid="{D31ABE01-572A-4CFE-B481-3319C3678639}"/>
  </bookViews>
  <sheets>
    <sheet name="Prüfungsplan HS25 Basel" sheetId="1" r:id="rId1"/>
  </sheets>
  <definedNames>
    <definedName name="_xlnm._FilterDatabase" localSheetId="0" hidden="1">'Prüfungsplan HS25 Basel'!$A$1:$O$119</definedName>
    <definedName name="_xlnm.Print_Area" localSheetId="0">'Prüfungsplan HS25 Basel'!$A$1:$O$119</definedName>
    <definedName name="_xlnm.Print_Titles" localSheetId="0">'Prüfungsplan HS25 Basel'!$1:$1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1" i="1" l="1"/>
  <c r="E99" i="1"/>
  <c r="E97" i="1"/>
  <c r="E94" i="1"/>
  <c r="E92" i="1"/>
  <c r="E90" i="1"/>
  <c r="E95" i="1"/>
  <c r="E86" i="1"/>
  <c r="E82" i="1"/>
  <c r="E80" i="1"/>
  <c r="E78" i="1"/>
  <c r="E83" i="1"/>
  <c r="E75" i="1"/>
  <c r="E73" i="1"/>
  <c r="E70" i="1" l="1"/>
  <c r="E66" i="1"/>
  <c r="E65" i="1"/>
  <c r="E63" i="1"/>
  <c r="E62" i="1"/>
  <c r="E60" i="1"/>
  <c r="E57" i="1"/>
  <c r="E55" i="1" l="1"/>
  <c r="E54" i="1"/>
  <c r="E52" i="1"/>
  <c r="E48" i="1"/>
  <c r="E46" i="1"/>
  <c r="E50" i="1"/>
  <c r="E42" i="1"/>
  <c r="E40" i="1"/>
  <c r="E37" i="1"/>
  <c r="E35" i="1"/>
  <c r="E32" i="1"/>
  <c r="E29" i="1"/>
  <c r="E27" i="1" l="1"/>
  <c r="E24" i="1"/>
  <c r="E22" i="1"/>
  <c r="E20" i="1"/>
  <c r="E25" i="1"/>
  <c r="E17" i="1"/>
  <c r="E16" i="1"/>
  <c r="E14" i="1" l="1"/>
  <c r="E12" i="1"/>
  <c r="E7" i="1" l="1"/>
  <c r="E9" i="1"/>
  <c r="E5" i="1"/>
  <c r="E3" i="1"/>
  <c r="E59" i="1" l="1"/>
  <c r="E112" i="1"/>
  <c r="E103" i="1" l="1"/>
  <c r="E84" i="1" l="1"/>
  <c r="E111" i="1" l="1"/>
  <c r="E110" i="1"/>
  <c r="E102" i="1"/>
  <c r="E81" i="1"/>
  <c r="E79" i="1"/>
  <c r="E77" i="1"/>
  <c r="E76" i="1"/>
  <c r="E53" i="1"/>
  <c r="E49" i="1"/>
  <c r="E47" i="1"/>
  <c r="E45" i="1"/>
  <c r="E44" i="1"/>
  <c r="E28" i="1"/>
  <c r="E15" i="1"/>
  <c r="E13" i="1"/>
  <c r="E11" i="1"/>
  <c r="E38" i="1"/>
  <c r="E18" i="1" l="1"/>
  <c r="E19" i="1"/>
  <c r="E21" i="1"/>
  <c r="E23" i="1"/>
  <c r="E10" i="1"/>
  <c r="E88" i="1"/>
  <c r="E89" i="1"/>
  <c r="E91" i="1"/>
  <c r="E93" i="1"/>
  <c r="E100" i="1"/>
  <c r="E2" i="1"/>
  <c r="E4" i="1"/>
  <c r="E6" i="1"/>
  <c r="E8" i="1"/>
  <c r="E56" i="1"/>
  <c r="E30" i="1"/>
  <c r="E31" i="1"/>
  <c r="E26" i="1"/>
  <c r="E34" i="1"/>
  <c r="E36" i="1"/>
  <c r="E33" i="1"/>
  <c r="E39" i="1"/>
  <c r="E41" i="1"/>
  <c r="E43" i="1"/>
  <c r="E87" i="1"/>
  <c r="E58" i="1"/>
  <c r="E61" i="1"/>
  <c r="E69" i="1"/>
  <c r="E51" i="1"/>
  <c r="E64" i="1"/>
  <c r="E67" i="1"/>
  <c r="E68" i="1"/>
  <c r="E85" i="1"/>
  <c r="E71" i="1"/>
  <c r="E72" i="1"/>
  <c r="E74" i="1"/>
  <c r="E96" i="1"/>
  <c r="E98" i="1"/>
  <c r="E114" i="1"/>
  <c r="E115" i="1"/>
  <c r="E116" i="1"/>
  <c r="E117" i="1"/>
  <c r="E118" i="1"/>
  <c r="E119" i="1"/>
</calcChain>
</file>

<file path=xl/sharedStrings.xml><?xml version="1.0" encoding="utf-8"?>
<sst xmlns="http://schemas.openxmlformats.org/spreadsheetml/2006/main" count="908" uniqueCount="203">
  <si>
    <t>Tag
Day</t>
  </si>
  <si>
    <t>Datum
Date</t>
  </si>
  <si>
    <t>Beginn
Start</t>
  </si>
  <si>
    <t>Ende
End</t>
  </si>
  <si>
    <t>Dauer
Duration</t>
  </si>
  <si>
    <t>Pause
Break</t>
  </si>
  <si>
    <t>Modul/Kurs
Module/Course</t>
  </si>
  <si>
    <t>Dozierende
Lecturers</t>
  </si>
  <si>
    <t>Studiengang
Study Program</t>
  </si>
  <si>
    <t>Semester / Semestre</t>
  </si>
  <si>
    <t>Klassen / Classes</t>
  </si>
  <si>
    <t>Prüfungsart
Type of examination</t>
  </si>
  <si>
    <t>Info / erlaubte Hilfsmittel
Info  / admissible aids</t>
  </si>
  <si>
    <t>Anzahl / Size</t>
  </si>
  <si>
    <t>Raum
Room</t>
  </si>
  <si>
    <t>Mi</t>
  </si>
  <si>
    <t>BÖKTZa_Geschäftsprozess- &amp; Projekt-Management</t>
  </si>
  <si>
    <t>Zeier Simon, Dannecker Achim</t>
  </si>
  <si>
    <t>BÖK: TZ</t>
  </si>
  <si>
    <t>TZ23a A-G</t>
  </si>
  <si>
    <t>MooPad</t>
  </si>
  <si>
    <t xml:space="preserve">Keine Hilfsmittel erlaubt </t>
  </si>
  <si>
    <t>-1.01</t>
  </si>
  <si>
    <t>TZ23a H-Z</t>
  </si>
  <si>
    <t>-1.02</t>
  </si>
  <si>
    <t>BÖKTZb_Geschäftsprozess- &amp; Projekt-Management</t>
  </si>
  <si>
    <t>TZ23b</t>
  </si>
  <si>
    <t>3.13</t>
  </si>
  <si>
    <t>BÖKTZa+b_Geschäftsprozess- &amp; Projekt-Management</t>
  </si>
  <si>
    <t>TZ23 a+b NA Gruppe</t>
  </si>
  <si>
    <t>1.12</t>
  </si>
  <si>
    <t>Do</t>
  </si>
  <si>
    <t>BÖKTZa_Financial Reporting &amp; Controlling</t>
  </si>
  <si>
    <t>Marco Canipa, Maximilian Koch</t>
  </si>
  <si>
    <t>on paper</t>
  </si>
  <si>
    <t>TI-30, TI-84, 1 Blatt DINA4, beidseitig beschriftete Zusammenfassung/Formelsammlung</t>
  </si>
  <si>
    <t>BÖKTZb_Financial Reporting &amp; Controlling</t>
  </si>
  <si>
    <t>BÖKTZa+b_Financial Reporting &amp; Controlling</t>
  </si>
  <si>
    <t>TZ23a+b NA Gruppe</t>
  </si>
  <si>
    <t>1.02</t>
  </si>
  <si>
    <t>Mo</t>
  </si>
  <si>
    <t>Kritisches Denken und Wissenschaftliches Schreiben</t>
  </si>
  <si>
    <t>Christoph Eisemann, Sarah-Louise Richter</t>
  </si>
  <si>
    <t>TZ25a</t>
  </si>
  <si>
    <t>neu: MooPad</t>
  </si>
  <si>
    <t>TZ25b A-K</t>
  </si>
  <si>
    <t>2.13</t>
  </si>
  <si>
    <t>TZ25b L-Z</t>
  </si>
  <si>
    <t>2.14</t>
  </si>
  <si>
    <t>TZ25c A-K</t>
  </si>
  <si>
    <t>0.02</t>
  </si>
  <si>
    <t>TZ25c L-Z</t>
  </si>
  <si>
    <t>4.15</t>
  </si>
  <si>
    <t>BÖK: VZ</t>
  </si>
  <si>
    <t>VZ25a A-I</t>
  </si>
  <si>
    <t>VZ25a J-Z</t>
  </si>
  <si>
    <t>3.14</t>
  </si>
  <si>
    <t>VZ25a NA Gruppe</t>
  </si>
  <si>
    <t>Di</t>
  </si>
  <si>
    <t>Angewandte Mathematik 1</t>
  </si>
  <si>
    <t>Spasova Tsvetana</t>
  </si>
  <si>
    <t>TI-30
2 Seiten A4 mit frei gestalteter Formelsammlung</t>
  </si>
  <si>
    <t>Patrik Christen</t>
  </si>
  <si>
    <t>TZ25b A-L</t>
  </si>
  <si>
    <t>TZ25b M-Z</t>
  </si>
  <si>
    <t>-1.03</t>
  </si>
  <si>
    <t>BÖK: TZ/VZ</t>
  </si>
  <si>
    <t>TZ25a NA Gruppe
VZ25a NA Gruppe</t>
  </si>
  <si>
    <t>BÖKVZa_Entrepreneurship &amp; Innovation</t>
  </si>
  <si>
    <t>Tina Haisch, Stefan Philippi</t>
  </si>
  <si>
    <t>NA Gruppe</t>
  </si>
  <si>
    <t>Statistik 1</t>
  </si>
  <si>
    <t>Erich Studerus</t>
  </si>
  <si>
    <t>VZ25a</t>
  </si>
  <si>
    <t>TI-30
Eigene Formelsammlung max. 2 A4 Blätter (4 Seiten)</t>
  </si>
  <si>
    <t>BÖKTZa_Informationsmanagement</t>
  </si>
  <si>
    <t>Quade Michael</t>
  </si>
  <si>
    <t>TZ24a</t>
  </si>
  <si>
    <t>Moopad, paper</t>
  </si>
  <si>
    <t>BÖKTZb_Informationsmanagement</t>
  </si>
  <si>
    <t>TZ24b A-L</t>
  </si>
  <si>
    <t>TZ24b M-Z</t>
  </si>
  <si>
    <t>HS_Basel_Windisch_VS MgIn_D Marketing und Wirtschaftspsychologie</t>
  </si>
  <si>
    <t>Charlotte Hofstetter, Aldo Gnocchi, Raymond Dettwiler, Bianka Fürbringer, Krebs Michael; Deiss Yannick Roger, Mugier Simon</t>
  </si>
  <si>
    <t>VS BÖK</t>
  </si>
  <si>
    <t>HS_Basel_VS B&amp;F_D Portfolio-Theorie und Portfolio-Management</t>
  </si>
  <si>
    <t>Härri Matthias, Winter Christoph</t>
  </si>
  <si>
    <t>•	Taschenrechner TI-30 und / oder TI-84
•	ein selbst gestaltetes Blatt mit eigenen Notizen: ein Blatt = zwei Seiten (Vorder- und Rückseite), Format DIN A4 («Cheat Sheet»)</t>
  </si>
  <si>
    <t>HS_Basel_VS DiB_D Geschäftsprozesse entwickeln und umsetzen</t>
  </si>
  <si>
    <t>Quade Michael, Manning John Paul, Irene Buller, Darius Zumstein, Tanner Christian</t>
  </si>
  <si>
    <t>Moodle (BYOD mit SEB)
Mit Beilage, nicht bewertet</t>
  </si>
  <si>
    <t>HS_Basel_Windisch_VS MgIn_D Marketing und Sales</t>
  </si>
  <si>
    <t>HS_Basel_VS B&amp;F_D Derivative, Alternative Anlagen und Fonds</t>
  </si>
  <si>
    <t>Härri Matthias, Winter Christoph, Gamboni Gianreto</t>
  </si>
  <si>
    <t>HS_Basel_VS CoM_D Standards und Compliance Culture
HS_Basel_VS CoM_D Key Compliance Processes</t>
  </si>
  <si>
    <t>Anja Nicol, Sara Oeschger</t>
  </si>
  <si>
    <t>Wörterbuch (English-English oder other language-English)</t>
  </si>
  <si>
    <t>HS_Basel_VS FiM+Audit_D Auditing Principles</t>
  </si>
  <si>
    <t>Canipa Marco, Hautzinger Tanja Bettina, Sommerhalder Basil</t>
  </si>
  <si>
    <t>TI-30
Ein selbst gestaltetes Blatt mit eigenen Notizen: ein Blatt = zwei Seiten (Vorder- und Rückseite), Format DIN A4 
Unkommentierte Gesetzestexte sowie anerkannte Standards (IFRS, Swiss GAAP FER) und SA-CH</t>
  </si>
  <si>
    <t>Fr</t>
  </si>
  <si>
    <t>Principles of Management</t>
  </si>
  <si>
    <t>Reust Dominik</t>
  </si>
  <si>
    <t>MooPad, paper</t>
  </si>
  <si>
    <t>TI 30
75min Prüfung, dann 15min Selbstreflexion</t>
  </si>
  <si>
    <t>Tanner Christian</t>
  </si>
  <si>
    <t>TZ25c A-L</t>
  </si>
  <si>
    <t>TZ25c M-Z</t>
  </si>
  <si>
    <t>VZ/TZ NA Gruppe</t>
  </si>
  <si>
    <t>Sa</t>
  </si>
  <si>
    <t>BÖKVZa_Corporate Finance</t>
  </si>
  <si>
    <t>Höchle Daniel, Härri Matthias</t>
  </si>
  <si>
    <t>TI-30 oder TI-84, eigener „Spick“ A4-Format doppelseitig</t>
  </si>
  <si>
    <t>Wirtschaftsethik und Nachhaltigkeit</t>
  </si>
  <si>
    <t>Brenner Andreas</t>
  </si>
  <si>
    <t>A-I</t>
  </si>
  <si>
    <t>J-Z</t>
  </si>
  <si>
    <t>BÖKVZa_Supply Chain Management &amp; Sustainability</t>
  </si>
  <si>
    <t>Wörner Dominik</t>
  </si>
  <si>
    <t>VZ23a</t>
  </si>
  <si>
    <t>TI-30, TI-84
Leeres Blatt Papier und Bleistift, nicht einzureichen</t>
  </si>
  <si>
    <t>VZ23a NA Gruppe</t>
  </si>
  <si>
    <t>BÖKTZa_Mikroökonomie</t>
  </si>
  <si>
    <t>Spengler Philipp</t>
  </si>
  <si>
    <t>A-L</t>
  </si>
  <si>
    <t>TI 30, keine sonstigen Hilfsmittel</t>
  </si>
  <si>
    <t>BÖKVZ_Mikroökonomie (NUR Prüfung) REP</t>
  </si>
  <si>
    <t>BÖK</t>
  </si>
  <si>
    <t>Papier</t>
  </si>
  <si>
    <t>M-Z</t>
  </si>
  <si>
    <t>BÖKTZb_Mikroökonomie</t>
  </si>
  <si>
    <t>BÖKTZa/b_Mikroökonomie</t>
  </si>
  <si>
    <t>BÖKTZa_Wirtschaftskommunikation DE/EN 4</t>
  </si>
  <si>
    <t>Christoph Eisemann, Marcel Verhoeven</t>
  </si>
  <si>
    <t>TZ22a A-G</t>
  </si>
  <si>
    <t>Moodle BYOD</t>
  </si>
  <si>
    <t>open book
Dictionary, Reports</t>
  </si>
  <si>
    <t>TZ22a H-Z</t>
  </si>
  <si>
    <t>BÖKTZa/c_Wirtschaftskommunikation DE/EN 4</t>
  </si>
  <si>
    <t>TZ22a/c NA Gruppe</t>
  </si>
  <si>
    <t>BÖKTZc_Wirtschaftskommunikation DE/EN 4</t>
  </si>
  <si>
    <t>TZ22c</t>
  </si>
  <si>
    <t>BÖKTZd_Wirtschaftskommunikation DE/EN 4</t>
  </si>
  <si>
    <t>TZ22d</t>
  </si>
  <si>
    <t>BÖKVZa_Marketing</t>
  </si>
  <si>
    <t>TI-30</t>
  </si>
  <si>
    <t>BÖKTZa_HRM &amp; OB 2</t>
  </si>
  <si>
    <t>Erich Schwizer, Christoph Minnig</t>
  </si>
  <si>
    <t>BÖKTZb_HRM &amp; OB 2</t>
  </si>
  <si>
    <t>BÖKVZa_HRM &amp; OB 2</t>
  </si>
  <si>
    <t>Stefan Güntert, Feriha Özdemir</t>
  </si>
  <si>
    <t>Organisational Behaviour</t>
  </si>
  <si>
    <t>Anja Mücke; Christoph Vogel; Christina Schaltegger; Michael Sitte; Stefan Güntert; Michael Holenweger; Anita Graf</t>
  </si>
  <si>
    <t>TZ25a / VZ25a NA Gruppe</t>
  </si>
  <si>
    <t>FS_Basel_VS_B&amp;F_D Advanced Corporate Finance (ohne Unterricht) REP</t>
  </si>
  <si>
    <t>Graef Frank, Härri Matthias, Ters Kristyna, Höchle Daniel</t>
  </si>
  <si>
    <t>TI-30 oder TI-84
Ein selbst gestaltetes Blatt mit eigenen Notizen: 
ein Blatt = zwei Seiten (Vorder- und Rückseite), Format DIN A4 («Cheat Sheet»)</t>
  </si>
  <si>
    <t>BÖKVZa_Wirtschaftskommunikation DE/EN 3</t>
  </si>
  <si>
    <t>Florian Blumer, Marcel Verhoeven</t>
  </si>
  <si>
    <t>Moopad</t>
  </si>
  <si>
    <t>EN Teil: Prüfung mit Handout Material als Papier, Eingabe Text in Moopad
DE Teil: nur Papier
Hilfsmittel: max. 2 eigene Vorlage-Reports mit max. 3 Seiten A4, Wörterbücher D-E erlaubt,
Duden, Band 1: «Die deutsche Rechtschreibung» nur als Buch (nicht digital)</t>
  </si>
  <si>
    <t>FS_Basel_VS_B&amp;F_D Bankmanagement (ohne Unterricht) REP</t>
  </si>
  <si>
    <t>Härri Matthias</t>
  </si>
  <si>
    <t>Financial Accounting &amp; Reporting</t>
  </si>
  <si>
    <t>Hammel Philipp, Hierholzer Andreas</t>
  </si>
  <si>
    <t>Hammel Philipp, Spengler Philipp</t>
  </si>
  <si>
    <t>Philipp Hammel, Philipp Spengler</t>
  </si>
  <si>
    <t>VZ25a A-K</t>
  </si>
  <si>
    <t>VZ25a L-Z</t>
  </si>
  <si>
    <t>BÖKTZa_Management Accounting</t>
  </si>
  <si>
    <t>Sutter Emilio</t>
  </si>
  <si>
    <t>TZ24a A-L</t>
  </si>
  <si>
    <t>TZ24a M-Z</t>
  </si>
  <si>
    <t>BÖKTZb_Management Accounting</t>
  </si>
  <si>
    <t>BÖKVZa_Makroökonomie</t>
  </si>
  <si>
    <t>VZ24a</t>
  </si>
  <si>
    <t>VZ24a NA Gruppe</t>
  </si>
  <si>
    <t>BÖKTZ_HRM &amp; OB 1 (NUR Prüfung) REP</t>
  </si>
  <si>
    <t>Christina Schaltegger, Erich Schwizer</t>
  </si>
  <si>
    <t>BÖKVZ_HRM &amp; OB 1 (NUR Prüfung) REP</t>
  </si>
  <si>
    <t>Cambridge English Placement Test (CEPT) - online</t>
  </si>
  <si>
    <t>Franziska Suter, Julie Fahrner</t>
  </si>
  <si>
    <t>BÖK VZ</t>
  </si>
  <si>
    <t>BYOD (Laptop required!)</t>
  </si>
  <si>
    <t>BÖK TZ</t>
  </si>
  <si>
    <t>A-F</t>
  </si>
  <si>
    <t>G-L</t>
  </si>
  <si>
    <t>M-P</t>
  </si>
  <si>
    <t>R-Z</t>
  </si>
  <si>
    <t>BÖKTZ_Wirtschaftsmathematik &amp; -statistik 2 (NUR Prüfung) REP</t>
  </si>
  <si>
    <t>Spasova Tsvetana, Erich Studerus, Patrik Christen</t>
  </si>
  <si>
    <t xml:space="preserve">TI-30/TI-84
4 Seiten A4 mit frei gestalteter Formelsammlung </t>
  </si>
  <si>
    <t>BÖKVZ_Wirtschaftsmathematik &amp; -statistik 2 (NUR Prüfung) REP</t>
  </si>
  <si>
    <t>BÖKTZ_Grundlagen Wirtschaftsrecht (NUR Prüfung) REP</t>
  </si>
  <si>
    <t>Gyr Eleonor</t>
  </si>
  <si>
    <t>OR / ZGB, kaufmännische Ausgabe (zulässig sind Post_x0002_it mit Bezeichnung der Gesetzesinhalte und farbige Markierungen, 
nicht aber Erklärungen, Notizen, Definitionen)</t>
  </si>
  <si>
    <t>BÖKVZ_Management Accounting (NUR Prüfung) REP</t>
  </si>
  <si>
    <t>Emilio Sutter</t>
  </si>
  <si>
    <t>Einsicht BÖK/BIT 3. Sem. und höher</t>
  </si>
  <si>
    <t>BÖK/BIT</t>
  </si>
  <si>
    <t>Termin und Zeit provisorisch - Detailplanung erst später</t>
  </si>
  <si>
    <t>offen</t>
  </si>
  <si>
    <t>Einsicht BÖK/BIT 3. Sem. und höher + Ass. Stufe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</si>
</sst>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
  </numFmts>
  <fonts count="6">
    <font>
      <sz val="11"/>
      <color theme="1"/>
      <name val="Calibri"/>
      <family val="2"/>
      <scheme val="minor"/>
    </font>
    <font>
      <b/>
      <sz val="11"/>
      <name val="Calibri"/>
      <family val="2"/>
      <scheme val="minor"/>
    </font>
    <font>
      <sz val="8"/>
      <name val="Calibri"/>
      <family val="2"/>
      <scheme val="minor"/>
    </font>
    <font>
      <sz val="11"/>
      <name val="Calibri"/>
      <family val="2"/>
      <scheme val="minor"/>
    </font>
    <font>
      <sz val="12"/>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30">
    <xf numFmtId="0" fontId="0" fillId="0" borderId="0" xfId="0"/>
    <xf numFmtId="0" fontId="3" fillId="0" borderId="1" xfId="0" applyFont="1" applyBorder="1" applyAlignment="1">
      <alignment vertical="center" wrapText="1"/>
    </xf>
    <xf numFmtId="0" fontId="3" fillId="0" borderId="0" xfId="0" applyFont="1" applyAlignment="1">
      <alignment vertical="center" wrapText="1"/>
    </xf>
    <xf numFmtId="49" fontId="3" fillId="0" borderId="1" xfId="0" applyNumberFormat="1" applyFont="1" applyBorder="1" applyAlignment="1">
      <alignment horizontal="left" vertical="center" wrapText="1"/>
    </xf>
    <xf numFmtId="0" fontId="5" fillId="0" borderId="1" xfId="0" applyFont="1" applyBorder="1" applyAlignment="1">
      <alignment vertical="center" wrapText="1"/>
    </xf>
    <xf numFmtId="0" fontId="1" fillId="0" borderId="1" xfId="0" applyFont="1" applyBorder="1" applyAlignment="1">
      <alignment vertical="center" wrapText="1"/>
    </xf>
    <xf numFmtId="49" fontId="3" fillId="0" borderId="1" xfId="0" applyNumberFormat="1" applyFont="1" applyBorder="1" applyAlignment="1">
      <alignment vertical="center" wrapText="1"/>
    </xf>
    <xf numFmtId="49" fontId="3" fillId="0" borderId="0" xfId="0" applyNumberFormat="1" applyFont="1" applyAlignment="1">
      <alignment vertical="center" wrapText="1"/>
    </xf>
    <xf numFmtId="14" fontId="3" fillId="0" borderId="1" xfId="0" applyNumberFormat="1" applyFont="1" applyBorder="1" applyAlignment="1">
      <alignment vertical="center" wrapText="1"/>
    </xf>
    <xf numFmtId="20" fontId="3" fillId="0" borderId="1" xfId="0" applyNumberFormat="1" applyFont="1" applyBorder="1" applyAlignment="1">
      <alignment vertical="center" wrapText="1"/>
    </xf>
    <xf numFmtId="164" fontId="3" fillId="0" borderId="1" xfId="0" applyNumberFormat="1" applyFont="1" applyBorder="1" applyAlignment="1">
      <alignment vertical="center" wrapText="1"/>
    </xf>
    <xf numFmtId="0" fontId="3" fillId="0" borderId="1" xfId="0" applyFont="1" applyBorder="1" applyAlignment="1">
      <alignment horizontal="left" vertical="center" wrapText="1"/>
    </xf>
    <xf numFmtId="49" fontId="3" fillId="0" borderId="1" xfId="0" quotePrefix="1" applyNumberFormat="1" applyFont="1" applyBorder="1" applyAlignment="1">
      <alignment horizontal="left" vertical="center" wrapText="1"/>
    </xf>
    <xf numFmtId="14" fontId="5" fillId="0" borderId="1" xfId="0" applyNumberFormat="1" applyFont="1" applyBorder="1" applyAlignment="1">
      <alignment vertical="center" wrapText="1"/>
    </xf>
    <xf numFmtId="20" fontId="5" fillId="0" borderId="1" xfId="0" applyNumberFormat="1" applyFont="1" applyBorder="1" applyAlignment="1">
      <alignment vertical="center" wrapText="1"/>
    </xf>
    <xf numFmtId="164" fontId="5" fillId="0" borderId="1" xfId="0" applyNumberFormat="1" applyFont="1" applyBorder="1" applyAlignment="1">
      <alignment vertical="center" wrapText="1"/>
    </xf>
    <xf numFmtId="0" fontId="5"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5" fillId="0" borderId="1" xfId="0" applyFont="1" applyBorder="1" applyAlignment="1">
      <alignment horizontal="left" vertical="center" wrapText="1"/>
    </xf>
    <xf numFmtId="49" fontId="5" fillId="0" borderId="1" xfId="0" applyNumberFormat="1" applyFont="1" applyBorder="1" applyAlignment="1">
      <alignment horizontal="left" vertical="center" wrapText="1"/>
    </xf>
    <xf numFmtId="49" fontId="3" fillId="2" borderId="1" xfId="0" applyNumberFormat="1" applyFont="1" applyFill="1" applyBorder="1" applyAlignment="1">
      <alignment horizontal="left" vertical="center" wrapText="1"/>
    </xf>
    <xf numFmtId="49" fontId="3" fillId="0" borderId="1" xfId="0" applyNumberFormat="1" applyFont="1" applyBorder="1" applyAlignment="1">
      <alignment horizontal="right" vertical="center" wrapText="1"/>
    </xf>
    <xf numFmtId="49" fontId="3" fillId="0" borderId="1" xfId="0" applyNumberFormat="1" applyFont="1" applyBorder="1" applyAlignment="1">
      <alignment vertical="top" wrapText="1"/>
    </xf>
    <xf numFmtId="0" fontId="3" fillId="0" borderId="0" xfId="0" applyFont="1" applyAlignment="1">
      <alignment horizontal="right" vertical="center" wrapText="1"/>
    </xf>
    <xf numFmtId="1" fontId="3" fillId="0" borderId="1" xfId="0" applyNumberFormat="1" applyFont="1" applyBorder="1" applyAlignment="1">
      <alignment horizontal="center" vertical="center" wrapText="1"/>
    </xf>
    <xf numFmtId="1" fontId="5" fillId="0" borderId="1" xfId="0" applyNumberFormat="1" applyFont="1" applyBorder="1" applyAlignment="1">
      <alignment horizontal="center" vertical="center" wrapText="1"/>
    </xf>
    <xf numFmtId="0" fontId="1" fillId="0" borderId="1" xfId="0" applyFont="1" applyBorder="1" applyAlignment="1">
      <alignment horizontal="left" vertical="center" wrapText="1"/>
    </xf>
    <xf numFmtId="49" fontId="1" fillId="0" borderId="1" xfId="0" applyNumberFormat="1" applyFont="1" applyBorder="1" applyAlignment="1">
      <alignment vertical="center" wrapText="1"/>
    </xf>
    <xf numFmtId="0" fontId="1" fillId="0" borderId="1" xfId="0" applyFont="1" applyBorder="1" applyAlignment="1">
      <alignment horizontal="center" vertical="center" wrapText="1"/>
    </xf>
  </cellXfs>
  <cellStyles count="2">
    <cellStyle name="Standard" xfId="0" builtinId="0"/>
    <cellStyle name="Standard 2" xfId="1" xr:uid="{D17A9011-3E48-49D4-A0D4-4FC773745AB2}"/>
  </cellStyles>
  <dxfs count="60">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theme="5" tint="0.59996337778862885"/>
        </patternFill>
      </fill>
    </dxf>
    <dxf>
      <fill>
        <patternFill>
          <bgColor rgb="FFFFFFCC"/>
        </patternFill>
      </fill>
    </dxf>
    <dxf>
      <fill>
        <patternFill>
          <bgColor rgb="FFFFCCCC"/>
        </patternFill>
      </fill>
    </dxf>
    <dxf>
      <fill>
        <patternFill>
          <bgColor rgb="FFCCCCFF"/>
        </patternFill>
      </fill>
    </dxf>
    <dxf>
      <fill>
        <patternFill>
          <bgColor theme="8" tint="0.59996337778862885"/>
        </patternFill>
      </fill>
    </dxf>
    <dxf>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3EFB29D-6C40-432F-9F65-83A16BD2B52C}">
  <we:reference id="wa200005271" version="2.5.5.0" store="de-DE"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541E2-8F03-4200-A015-DBFDB9A7FB7A}">
  <sheetPr filterMode="1">
    <pageSetUpPr fitToPage="1"/>
  </sheetPr>
  <dimension ref="A1:O119"/>
  <sheetViews>
    <sheetView tabSelected="1" zoomScale="80" zoomScaleNormal="80" workbookViewId="0">
      <pane xSplit="7" ySplit="1" topLeftCell="H43" activePane="bottomRight" state="frozen"/>
      <selection pane="bottomRight" activeCell="A44" sqref="A44:XFD50"/>
      <selection pane="bottomLeft" activeCell="A2" sqref="A2"/>
      <selection pane="topRight" activeCell="H1" sqref="H1"/>
    </sheetView>
  </sheetViews>
  <sheetFormatPr defaultColWidth="11.42578125" defaultRowHeight="15" customHeight="1" outlineLevelCol="1"/>
  <cols>
    <col min="1" max="1" width="5.28515625" style="2" customWidth="1"/>
    <col min="2" max="2" width="12.42578125" style="2" bestFit="1" customWidth="1"/>
    <col min="3" max="3" width="8.5703125" style="2" customWidth="1"/>
    <col min="4" max="4" width="7.42578125" style="2" customWidth="1"/>
    <col min="5" max="5" width="8.7109375" style="2" bestFit="1" customWidth="1"/>
    <col min="6" max="6" width="7.140625" style="2" customWidth="1" outlineLevel="1"/>
    <col min="7" max="7" width="37.140625" style="2" customWidth="1"/>
    <col min="8" max="8" width="23.85546875" style="2" customWidth="1" outlineLevel="1"/>
    <col min="9" max="9" width="14.42578125" style="17" customWidth="1"/>
    <col min="10" max="10" width="13.85546875" style="17" customWidth="1" outlineLevel="1"/>
    <col min="11" max="11" width="21.140625" style="7" customWidth="1" outlineLevel="1"/>
    <col min="12" max="12" width="19.7109375" style="17" customWidth="1"/>
    <col min="13" max="13" width="73.42578125" style="17" customWidth="1" outlineLevel="1"/>
    <col min="14" max="14" width="14" style="18" bestFit="1" customWidth="1"/>
    <col min="15" max="15" width="14.85546875" style="24" customWidth="1"/>
    <col min="16" max="16384" width="11.42578125" style="2"/>
  </cols>
  <sheetData>
    <row r="1" spans="1:15" ht="30">
      <c r="A1" s="5" t="s">
        <v>0</v>
      </c>
      <c r="B1" s="5" t="s">
        <v>1</v>
      </c>
      <c r="C1" s="5" t="s">
        <v>2</v>
      </c>
      <c r="D1" s="5" t="s">
        <v>3</v>
      </c>
      <c r="E1" s="5" t="s">
        <v>4</v>
      </c>
      <c r="F1" s="5" t="s">
        <v>5</v>
      </c>
      <c r="G1" s="5" t="s">
        <v>6</v>
      </c>
      <c r="H1" s="5" t="s">
        <v>7</v>
      </c>
      <c r="I1" s="27" t="s">
        <v>8</v>
      </c>
      <c r="J1" s="27" t="s">
        <v>9</v>
      </c>
      <c r="K1" s="28" t="s">
        <v>10</v>
      </c>
      <c r="L1" s="27" t="s">
        <v>11</v>
      </c>
      <c r="M1" s="27" t="s">
        <v>12</v>
      </c>
      <c r="N1" s="29" t="s">
        <v>13</v>
      </c>
      <c r="O1" s="29" t="s">
        <v>14</v>
      </c>
    </row>
    <row r="2" spans="1:15" ht="30" hidden="1">
      <c r="A2" s="1" t="s">
        <v>15</v>
      </c>
      <c r="B2" s="8">
        <v>46029</v>
      </c>
      <c r="C2" s="9">
        <v>0.5625</v>
      </c>
      <c r="D2" s="9">
        <v>0.625</v>
      </c>
      <c r="E2" s="10">
        <f t="shared" ref="E2:E8" si="0">D2-C2</f>
        <v>6.25E-2</v>
      </c>
      <c r="F2" s="10">
        <v>0</v>
      </c>
      <c r="G2" s="1" t="s">
        <v>16</v>
      </c>
      <c r="H2" s="1" t="s">
        <v>17</v>
      </c>
      <c r="I2" s="11" t="s">
        <v>18</v>
      </c>
      <c r="J2" s="11">
        <v>5</v>
      </c>
      <c r="K2" s="3" t="s">
        <v>19</v>
      </c>
      <c r="L2" s="3" t="s">
        <v>20</v>
      </c>
      <c r="M2" s="6" t="s">
        <v>21</v>
      </c>
      <c r="N2" s="25">
        <v>17</v>
      </c>
      <c r="O2" s="22" t="s">
        <v>22</v>
      </c>
    </row>
    <row r="3" spans="1:15" ht="30" hidden="1">
      <c r="A3" s="1" t="s">
        <v>15</v>
      </c>
      <c r="B3" s="8">
        <v>46029</v>
      </c>
      <c r="C3" s="9">
        <v>0.5625</v>
      </c>
      <c r="D3" s="9">
        <v>0.625</v>
      </c>
      <c r="E3" s="10">
        <f t="shared" ref="E3" si="1">D3-C3</f>
        <v>6.25E-2</v>
      </c>
      <c r="F3" s="10">
        <v>0</v>
      </c>
      <c r="G3" s="1" t="s">
        <v>16</v>
      </c>
      <c r="H3" s="1" t="s">
        <v>17</v>
      </c>
      <c r="I3" s="11" t="s">
        <v>18</v>
      </c>
      <c r="J3" s="11">
        <v>5</v>
      </c>
      <c r="K3" s="3" t="s">
        <v>23</v>
      </c>
      <c r="L3" s="3" t="s">
        <v>20</v>
      </c>
      <c r="M3" s="6" t="s">
        <v>21</v>
      </c>
      <c r="N3" s="25">
        <v>16</v>
      </c>
      <c r="O3" s="22" t="s">
        <v>24</v>
      </c>
    </row>
    <row r="4" spans="1:15" ht="30" hidden="1">
      <c r="A4" s="1" t="s">
        <v>15</v>
      </c>
      <c r="B4" s="8">
        <v>46029</v>
      </c>
      <c r="C4" s="9">
        <v>0.5625</v>
      </c>
      <c r="D4" s="9">
        <v>0.625</v>
      </c>
      <c r="E4" s="10">
        <f t="shared" si="0"/>
        <v>6.25E-2</v>
      </c>
      <c r="F4" s="10">
        <v>0</v>
      </c>
      <c r="G4" s="1" t="s">
        <v>25</v>
      </c>
      <c r="H4" s="1" t="s">
        <v>17</v>
      </c>
      <c r="I4" s="11" t="s">
        <v>18</v>
      </c>
      <c r="J4" s="11">
        <v>5</v>
      </c>
      <c r="K4" s="3" t="s">
        <v>26</v>
      </c>
      <c r="L4" s="3" t="s">
        <v>20</v>
      </c>
      <c r="M4" s="6" t="s">
        <v>21</v>
      </c>
      <c r="N4" s="25">
        <v>27</v>
      </c>
      <c r="O4" s="22" t="s">
        <v>27</v>
      </c>
    </row>
    <row r="5" spans="1:15" ht="30" hidden="1">
      <c r="A5" s="1" t="s">
        <v>15</v>
      </c>
      <c r="B5" s="8">
        <v>46029</v>
      </c>
      <c r="C5" s="9">
        <v>0.5625</v>
      </c>
      <c r="D5" s="9">
        <v>0.64236111111111116</v>
      </c>
      <c r="E5" s="10">
        <f t="shared" ref="E5" si="2">D5-C5</f>
        <v>7.986111111111116E-2</v>
      </c>
      <c r="F5" s="10">
        <v>0</v>
      </c>
      <c r="G5" s="1" t="s">
        <v>28</v>
      </c>
      <c r="H5" s="1" t="s">
        <v>17</v>
      </c>
      <c r="I5" s="11" t="s">
        <v>18</v>
      </c>
      <c r="J5" s="11">
        <v>5</v>
      </c>
      <c r="K5" s="3" t="s">
        <v>29</v>
      </c>
      <c r="L5" s="3" t="s">
        <v>20</v>
      </c>
      <c r="M5" s="6" t="s">
        <v>21</v>
      </c>
      <c r="N5" s="25">
        <v>6</v>
      </c>
      <c r="O5" s="22" t="s">
        <v>30</v>
      </c>
    </row>
    <row r="6" spans="1:15" ht="30" hidden="1">
      <c r="A6" s="1" t="s">
        <v>31</v>
      </c>
      <c r="B6" s="8">
        <v>46030</v>
      </c>
      <c r="C6" s="9">
        <v>0.375</v>
      </c>
      <c r="D6" s="9">
        <v>0.4375</v>
      </c>
      <c r="E6" s="10">
        <f t="shared" si="0"/>
        <v>6.25E-2</v>
      </c>
      <c r="F6" s="10">
        <v>0</v>
      </c>
      <c r="G6" s="1" t="s">
        <v>32</v>
      </c>
      <c r="H6" s="1" t="s">
        <v>33</v>
      </c>
      <c r="I6" s="11" t="s">
        <v>18</v>
      </c>
      <c r="J6" s="11">
        <v>5</v>
      </c>
      <c r="K6" s="3" t="s">
        <v>19</v>
      </c>
      <c r="L6" s="3" t="s">
        <v>34</v>
      </c>
      <c r="M6" s="6" t="s">
        <v>35</v>
      </c>
      <c r="N6" s="25">
        <v>19</v>
      </c>
      <c r="O6" s="22" t="s">
        <v>22</v>
      </c>
    </row>
    <row r="7" spans="1:15" ht="30" hidden="1">
      <c r="A7" s="1" t="s">
        <v>31</v>
      </c>
      <c r="B7" s="8">
        <v>46030</v>
      </c>
      <c r="C7" s="9">
        <v>0.375</v>
      </c>
      <c r="D7" s="9">
        <v>0.4375</v>
      </c>
      <c r="E7" s="10">
        <f t="shared" ref="E7" si="3">D7-C7</f>
        <v>6.25E-2</v>
      </c>
      <c r="F7" s="10">
        <v>0</v>
      </c>
      <c r="G7" s="1" t="s">
        <v>32</v>
      </c>
      <c r="H7" s="1" t="s">
        <v>33</v>
      </c>
      <c r="I7" s="11" t="s">
        <v>18</v>
      </c>
      <c r="J7" s="11">
        <v>5</v>
      </c>
      <c r="K7" s="3" t="s">
        <v>23</v>
      </c>
      <c r="L7" s="3" t="s">
        <v>34</v>
      </c>
      <c r="M7" s="6" t="s">
        <v>35</v>
      </c>
      <c r="N7" s="25">
        <v>18</v>
      </c>
      <c r="O7" s="22" t="s">
        <v>24</v>
      </c>
    </row>
    <row r="8" spans="1:15" ht="30" hidden="1">
      <c r="A8" s="1" t="s">
        <v>31</v>
      </c>
      <c r="B8" s="8">
        <v>46030</v>
      </c>
      <c r="C8" s="9">
        <v>0.375</v>
      </c>
      <c r="D8" s="9">
        <v>0.4375</v>
      </c>
      <c r="E8" s="10">
        <f t="shared" si="0"/>
        <v>6.25E-2</v>
      </c>
      <c r="F8" s="10">
        <v>0</v>
      </c>
      <c r="G8" s="1" t="s">
        <v>36</v>
      </c>
      <c r="H8" s="1" t="s">
        <v>33</v>
      </c>
      <c r="I8" s="11" t="s">
        <v>18</v>
      </c>
      <c r="J8" s="11">
        <v>5</v>
      </c>
      <c r="K8" s="11" t="s">
        <v>26</v>
      </c>
      <c r="L8" s="3" t="s">
        <v>34</v>
      </c>
      <c r="M8" s="6" t="s">
        <v>35</v>
      </c>
      <c r="N8" s="25">
        <v>26</v>
      </c>
      <c r="O8" s="22" t="s">
        <v>27</v>
      </c>
    </row>
    <row r="9" spans="1:15" ht="30" hidden="1">
      <c r="A9" s="1" t="s">
        <v>31</v>
      </c>
      <c r="B9" s="8">
        <v>46030</v>
      </c>
      <c r="C9" s="9">
        <v>0.375</v>
      </c>
      <c r="D9" s="9">
        <v>0.4548611111111111</v>
      </c>
      <c r="E9" s="10">
        <f t="shared" ref="E9" si="4">D9-C9</f>
        <v>7.9861111111111105E-2</v>
      </c>
      <c r="F9" s="10">
        <v>0</v>
      </c>
      <c r="G9" s="1" t="s">
        <v>37</v>
      </c>
      <c r="H9" s="1" t="s">
        <v>33</v>
      </c>
      <c r="I9" s="11" t="s">
        <v>18</v>
      </c>
      <c r="J9" s="11">
        <v>5</v>
      </c>
      <c r="K9" s="3" t="s">
        <v>38</v>
      </c>
      <c r="L9" s="3" t="s">
        <v>34</v>
      </c>
      <c r="M9" s="6" t="s">
        <v>35</v>
      </c>
      <c r="N9" s="25">
        <v>4</v>
      </c>
      <c r="O9" s="22" t="s">
        <v>39</v>
      </c>
    </row>
    <row r="10" spans="1:15" ht="30" hidden="1">
      <c r="A10" s="1" t="s">
        <v>40</v>
      </c>
      <c r="B10" s="8">
        <v>46034</v>
      </c>
      <c r="C10" s="9">
        <v>0.58333333333333337</v>
      </c>
      <c r="D10" s="9">
        <v>0.625</v>
      </c>
      <c r="E10" s="10">
        <f t="shared" ref="E10:E43" si="5">D10-C10</f>
        <v>4.166666666666663E-2</v>
      </c>
      <c r="F10" s="10">
        <v>0</v>
      </c>
      <c r="G10" s="1" t="s">
        <v>41</v>
      </c>
      <c r="H10" s="1" t="s">
        <v>42</v>
      </c>
      <c r="I10" s="11" t="s">
        <v>18</v>
      </c>
      <c r="J10" s="11">
        <v>1</v>
      </c>
      <c r="K10" s="3" t="s">
        <v>43</v>
      </c>
      <c r="L10" s="3" t="s">
        <v>44</v>
      </c>
      <c r="M10" s="6" t="s">
        <v>21</v>
      </c>
      <c r="N10" s="25">
        <v>21</v>
      </c>
      <c r="O10" s="22" t="s">
        <v>24</v>
      </c>
    </row>
    <row r="11" spans="1:15" ht="30" hidden="1">
      <c r="A11" s="1" t="s">
        <v>40</v>
      </c>
      <c r="B11" s="8">
        <v>46034</v>
      </c>
      <c r="C11" s="9">
        <v>0.58333333333333337</v>
      </c>
      <c r="D11" s="9">
        <v>0.625</v>
      </c>
      <c r="E11" s="10">
        <f t="shared" si="5"/>
        <v>4.166666666666663E-2</v>
      </c>
      <c r="F11" s="10">
        <v>0</v>
      </c>
      <c r="G11" s="1" t="s">
        <v>41</v>
      </c>
      <c r="H11" s="1" t="s">
        <v>42</v>
      </c>
      <c r="I11" s="11" t="s">
        <v>18</v>
      </c>
      <c r="J11" s="11">
        <v>1</v>
      </c>
      <c r="K11" s="3" t="s">
        <v>45</v>
      </c>
      <c r="L11" s="3" t="s">
        <v>44</v>
      </c>
      <c r="M11" s="6" t="s">
        <v>21</v>
      </c>
      <c r="N11" s="25">
        <v>17</v>
      </c>
      <c r="O11" s="22" t="s">
        <v>46</v>
      </c>
    </row>
    <row r="12" spans="1:15" ht="30" hidden="1">
      <c r="A12" s="1" t="s">
        <v>40</v>
      </c>
      <c r="B12" s="8">
        <v>46034</v>
      </c>
      <c r="C12" s="9">
        <v>0.58333333333333337</v>
      </c>
      <c r="D12" s="9">
        <v>0.625</v>
      </c>
      <c r="E12" s="10">
        <f t="shared" ref="E12" si="6">D12-C12</f>
        <v>4.166666666666663E-2</v>
      </c>
      <c r="F12" s="10">
        <v>0</v>
      </c>
      <c r="G12" s="1" t="s">
        <v>41</v>
      </c>
      <c r="H12" s="1" t="s">
        <v>42</v>
      </c>
      <c r="I12" s="11" t="s">
        <v>18</v>
      </c>
      <c r="J12" s="11">
        <v>1</v>
      </c>
      <c r="K12" s="3" t="s">
        <v>47</v>
      </c>
      <c r="L12" s="3" t="s">
        <v>44</v>
      </c>
      <c r="M12" s="6" t="s">
        <v>21</v>
      </c>
      <c r="N12" s="25">
        <v>18</v>
      </c>
      <c r="O12" s="22" t="s">
        <v>48</v>
      </c>
    </row>
    <row r="13" spans="1:15" ht="30" hidden="1">
      <c r="A13" s="1" t="s">
        <v>40</v>
      </c>
      <c r="B13" s="8">
        <v>46034</v>
      </c>
      <c r="C13" s="9">
        <v>0.58333333333333337</v>
      </c>
      <c r="D13" s="9">
        <v>0.625</v>
      </c>
      <c r="E13" s="10">
        <f t="shared" si="5"/>
        <v>4.166666666666663E-2</v>
      </c>
      <c r="F13" s="10">
        <v>0</v>
      </c>
      <c r="G13" s="1" t="s">
        <v>41</v>
      </c>
      <c r="H13" s="1" t="s">
        <v>42</v>
      </c>
      <c r="I13" s="11" t="s">
        <v>18</v>
      </c>
      <c r="J13" s="11">
        <v>1</v>
      </c>
      <c r="K13" s="3" t="s">
        <v>49</v>
      </c>
      <c r="L13" s="3" t="s">
        <v>44</v>
      </c>
      <c r="M13" s="6" t="s">
        <v>21</v>
      </c>
      <c r="N13" s="25">
        <v>16</v>
      </c>
      <c r="O13" s="22" t="s">
        <v>50</v>
      </c>
    </row>
    <row r="14" spans="1:15" ht="30" hidden="1">
      <c r="A14" s="1" t="s">
        <v>40</v>
      </c>
      <c r="B14" s="8">
        <v>46034</v>
      </c>
      <c r="C14" s="9">
        <v>0.58333333333333337</v>
      </c>
      <c r="D14" s="9">
        <v>0.625</v>
      </c>
      <c r="E14" s="10">
        <f t="shared" ref="E14" si="7">D14-C14</f>
        <v>4.166666666666663E-2</v>
      </c>
      <c r="F14" s="10">
        <v>0</v>
      </c>
      <c r="G14" s="1" t="s">
        <v>41</v>
      </c>
      <c r="H14" s="1" t="s">
        <v>42</v>
      </c>
      <c r="I14" s="11" t="s">
        <v>18</v>
      </c>
      <c r="J14" s="11">
        <v>1</v>
      </c>
      <c r="K14" s="3" t="s">
        <v>51</v>
      </c>
      <c r="L14" s="3" t="s">
        <v>44</v>
      </c>
      <c r="M14" s="6" t="s">
        <v>21</v>
      </c>
      <c r="N14" s="25">
        <v>18</v>
      </c>
      <c r="O14" s="22" t="s">
        <v>52</v>
      </c>
    </row>
    <row r="15" spans="1:15" ht="30" hidden="1">
      <c r="A15" s="1" t="s">
        <v>40</v>
      </c>
      <c r="B15" s="8">
        <v>46034</v>
      </c>
      <c r="C15" s="9">
        <v>0.58333333333333337</v>
      </c>
      <c r="D15" s="9">
        <v>0.625</v>
      </c>
      <c r="E15" s="10">
        <f t="shared" si="5"/>
        <v>4.166666666666663E-2</v>
      </c>
      <c r="F15" s="10">
        <v>0</v>
      </c>
      <c r="G15" s="1" t="s">
        <v>41</v>
      </c>
      <c r="H15" s="1" t="s">
        <v>42</v>
      </c>
      <c r="I15" s="11" t="s">
        <v>53</v>
      </c>
      <c r="J15" s="11">
        <v>1</v>
      </c>
      <c r="K15" s="12" t="s">
        <v>54</v>
      </c>
      <c r="L15" s="3" t="s">
        <v>44</v>
      </c>
      <c r="M15" s="6" t="s">
        <v>21</v>
      </c>
      <c r="N15" s="25">
        <v>17</v>
      </c>
      <c r="O15" s="22" t="s">
        <v>27</v>
      </c>
    </row>
    <row r="16" spans="1:15" ht="30" hidden="1">
      <c r="A16" s="1" t="s">
        <v>40</v>
      </c>
      <c r="B16" s="8">
        <v>46034</v>
      </c>
      <c r="C16" s="9">
        <v>0.58333333333333337</v>
      </c>
      <c r="D16" s="9">
        <v>0.625</v>
      </c>
      <c r="E16" s="10">
        <f t="shared" ref="E16:E17" si="8">D16-C16</f>
        <v>4.166666666666663E-2</v>
      </c>
      <c r="F16" s="10">
        <v>0</v>
      </c>
      <c r="G16" s="1" t="s">
        <v>41</v>
      </c>
      <c r="H16" s="1" t="s">
        <v>42</v>
      </c>
      <c r="I16" s="11" t="s">
        <v>53</v>
      </c>
      <c r="J16" s="11">
        <v>1</v>
      </c>
      <c r="K16" s="12" t="s">
        <v>55</v>
      </c>
      <c r="L16" s="3" t="s">
        <v>44</v>
      </c>
      <c r="M16" s="6" t="s">
        <v>21</v>
      </c>
      <c r="N16" s="25">
        <v>17</v>
      </c>
      <c r="O16" s="22" t="s">
        <v>56</v>
      </c>
    </row>
    <row r="17" spans="1:15" ht="30" hidden="1">
      <c r="A17" s="1" t="s">
        <v>40</v>
      </c>
      <c r="B17" s="8">
        <v>46034</v>
      </c>
      <c r="C17" s="9">
        <v>0.58333333333333337</v>
      </c>
      <c r="D17" s="9">
        <v>0.63541666666666663</v>
      </c>
      <c r="E17" s="10">
        <f t="shared" si="8"/>
        <v>5.2083333333333259E-2</v>
      </c>
      <c r="F17" s="10">
        <v>0</v>
      </c>
      <c r="G17" s="1" t="s">
        <v>41</v>
      </c>
      <c r="H17" s="1" t="s">
        <v>42</v>
      </c>
      <c r="I17" s="11" t="s">
        <v>53</v>
      </c>
      <c r="J17" s="11">
        <v>1</v>
      </c>
      <c r="K17" s="12" t="s">
        <v>57</v>
      </c>
      <c r="L17" s="3" t="s">
        <v>44</v>
      </c>
      <c r="M17" s="6" t="s">
        <v>21</v>
      </c>
      <c r="N17" s="25">
        <v>4</v>
      </c>
      <c r="O17" s="22" t="s">
        <v>39</v>
      </c>
    </row>
    <row r="18" spans="1:15" ht="30" hidden="1">
      <c r="A18" s="1" t="s">
        <v>58</v>
      </c>
      <c r="B18" s="8">
        <v>46035</v>
      </c>
      <c r="C18" s="9">
        <v>0.35416666666666669</v>
      </c>
      <c r="D18" s="9">
        <v>0.39583333333333331</v>
      </c>
      <c r="E18" s="10">
        <f t="shared" si="5"/>
        <v>4.166666666666663E-2</v>
      </c>
      <c r="F18" s="10">
        <v>0</v>
      </c>
      <c r="G18" s="1" t="s">
        <v>59</v>
      </c>
      <c r="H18" s="1" t="s">
        <v>60</v>
      </c>
      <c r="I18" s="11" t="s">
        <v>18</v>
      </c>
      <c r="J18" s="11">
        <v>1</v>
      </c>
      <c r="K18" s="3" t="s">
        <v>43</v>
      </c>
      <c r="L18" s="3" t="s">
        <v>34</v>
      </c>
      <c r="M18" s="23" t="s">
        <v>61</v>
      </c>
      <c r="N18" s="25">
        <v>21</v>
      </c>
      <c r="O18" s="22" t="s">
        <v>22</v>
      </c>
    </row>
    <row r="19" spans="1:15" ht="30" hidden="1">
      <c r="A19" s="1" t="s">
        <v>58</v>
      </c>
      <c r="B19" s="8">
        <v>46035</v>
      </c>
      <c r="C19" s="9">
        <v>0.35416666666666669</v>
      </c>
      <c r="D19" s="9">
        <v>0.39583333333333331</v>
      </c>
      <c r="E19" s="10">
        <f t="shared" si="5"/>
        <v>4.166666666666663E-2</v>
      </c>
      <c r="F19" s="10">
        <v>0</v>
      </c>
      <c r="G19" s="1" t="s">
        <v>59</v>
      </c>
      <c r="H19" s="1" t="s">
        <v>62</v>
      </c>
      <c r="I19" s="11" t="s">
        <v>18</v>
      </c>
      <c r="J19" s="11">
        <v>1</v>
      </c>
      <c r="K19" s="3" t="s">
        <v>63</v>
      </c>
      <c r="L19" s="3" t="s">
        <v>34</v>
      </c>
      <c r="M19" s="23" t="s">
        <v>61</v>
      </c>
      <c r="N19" s="25">
        <v>18</v>
      </c>
      <c r="O19" s="22" t="s">
        <v>24</v>
      </c>
    </row>
    <row r="20" spans="1:15" ht="30" hidden="1">
      <c r="A20" s="1" t="s">
        <v>58</v>
      </c>
      <c r="B20" s="8">
        <v>46035</v>
      </c>
      <c r="C20" s="9">
        <v>0.35416666666666669</v>
      </c>
      <c r="D20" s="9">
        <v>0.39583333333333331</v>
      </c>
      <c r="E20" s="10">
        <f t="shared" ref="E20" si="9">D20-C20</f>
        <v>4.166666666666663E-2</v>
      </c>
      <c r="F20" s="10">
        <v>0</v>
      </c>
      <c r="G20" s="1" t="s">
        <v>59</v>
      </c>
      <c r="H20" s="1" t="s">
        <v>62</v>
      </c>
      <c r="I20" s="11" t="s">
        <v>18</v>
      </c>
      <c r="J20" s="11">
        <v>1</v>
      </c>
      <c r="K20" s="3" t="s">
        <v>64</v>
      </c>
      <c r="L20" s="3" t="s">
        <v>34</v>
      </c>
      <c r="M20" s="23" t="s">
        <v>61</v>
      </c>
      <c r="N20" s="25">
        <v>17</v>
      </c>
      <c r="O20" s="22" t="s">
        <v>65</v>
      </c>
    </row>
    <row r="21" spans="1:15" ht="30" hidden="1">
      <c r="A21" s="1" t="s">
        <v>58</v>
      </c>
      <c r="B21" s="8">
        <v>46035</v>
      </c>
      <c r="C21" s="9">
        <v>0.35416666666666669</v>
      </c>
      <c r="D21" s="9">
        <v>0.39583333333333331</v>
      </c>
      <c r="E21" s="10">
        <f t="shared" si="5"/>
        <v>4.166666666666663E-2</v>
      </c>
      <c r="F21" s="10">
        <v>0</v>
      </c>
      <c r="G21" s="1" t="s">
        <v>59</v>
      </c>
      <c r="H21" s="1" t="s">
        <v>62</v>
      </c>
      <c r="I21" s="11" t="s">
        <v>18</v>
      </c>
      <c r="J21" s="11">
        <v>1</v>
      </c>
      <c r="K21" s="3" t="s">
        <v>49</v>
      </c>
      <c r="L21" s="3" t="s">
        <v>34</v>
      </c>
      <c r="M21" s="23" t="s">
        <v>61</v>
      </c>
      <c r="N21" s="25">
        <v>18</v>
      </c>
      <c r="O21" s="22" t="s">
        <v>46</v>
      </c>
    </row>
    <row r="22" spans="1:15" ht="30" hidden="1">
      <c r="A22" s="1" t="s">
        <v>58</v>
      </c>
      <c r="B22" s="8">
        <v>46035</v>
      </c>
      <c r="C22" s="9">
        <v>0.35416666666666669</v>
      </c>
      <c r="D22" s="9">
        <v>0.39583333333333331</v>
      </c>
      <c r="E22" s="10">
        <f t="shared" ref="E22" si="10">D22-C22</f>
        <v>4.166666666666663E-2</v>
      </c>
      <c r="F22" s="10">
        <v>0</v>
      </c>
      <c r="G22" s="1" t="s">
        <v>59</v>
      </c>
      <c r="H22" s="1" t="s">
        <v>62</v>
      </c>
      <c r="I22" s="11" t="s">
        <v>18</v>
      </c>
      <c r="J22" s="11">
        <v>1</v>
      </c>
      <c r="K22" s="3" t="s">
        <v>51</v>
      </c>
      <c r="L22" s="3" t="s">
        <v>34</v>
      </c>
      <c r="M22" s="23" t="s">
        <v>61</v>
      </c>
      <c r="N22" s="25">
        <v>18</v>
      </c>
      <c r="O22" s="22" t="s">
        <v>48</v>
      </c>
    </row>
    <row r="23" spans="1:15" ht="30" hidden="1">
      <c r="A23" s="1" t="s">
        <v>58</v>
      </c>
      <c r="B23" s="8">
        <v>46035</v>
      </c>
      <c r="C23" s="9">
        <v>0.35416666666666669</v>
      </c>
      <c r="D23" s="9">
        <v>0.39583333333333331</v>
      </c>
      <c r="E23" s="10">
        <f t="shared" si="5"/>
        <v>4.166666666666663E-2</v>
      </c>
      <c r="F23" s="10">
        <v>0</v>
      </c>
      <c r="G23" s="1" t="s">
        <v>59</v>
      </c>
      <c r="H23" s="1" t="s">
        <v>60</v>
      </c>
      <c r="I23" s="11" t="s">
        <v>53</v>
      </c>
      <c r="J23" s="11">
        <v>1</v>
      </c>
      <c r="K23" s="3" t="s">
        <v>54</v>
      </c>
      <c r="L23" s="3" t="s">
        <v>34</v>
      </c>
      <c r="M23" s="23" t="s">
        <v>61</v>
      </c>
      <c r="N23" s="25">
        <v>16</v>
      </c>
      <c r="O23" s="22" t="s">
        <v>27</v>
      </c>
    </row>
    <row r="24" spans="1:15" ht="30" hidden="1">
      <c r="A24" s="1" t="s">
        <v>58</v>
      </c>
      <c r="B24" s="8">
        <v>46035</v>
      </c>
      <c r="C24" s="9">
        <v>0.35416666666666669</v>
      </c>
      <c r="D24" s="9">
        <v>0.39583333333333331</v>
      </c>
      <c r="E24" s="10">
        <f t="shared" ref="E24" si="11">D24-C24</f>
        <v>4.166666666666663E-2</v>
      </c>
      <c r="F24" s="10">
        <v>0</v>
      </c>
      <c r="G24" s="1" t="s">
        <v>59</v>
      </c>
      <c r="H24" s="1" t="s">
        <v>60</v>
      </c>
      <c r="I24" s="11" t="s">
        <v>53</v>
      </c>
      <c r="J24" s="11">
        <v>1</v>
      </c>
      <c r="K24" s="3" t="s">
        <v>55</v>
      </c>
      <c r="L24" s="3" t="s">
        <v>34</v>
      </c>
      <c r="M24" s="23" t="s">
        <v>61</v>
      </c>
      <c r="N24" s="25">
        <v>19</v>
      </c>
      <c r="O24" s="22" t="s">
        <v>56</v>
      </c>
    </row>
    <row r="25" spans="1:15" ht="30" hidden="1">
      <c r="A25" s="1" t="s">
        <v>58</v>
      </c>
      <c r="B25" s="8">
        <v>46035</v>
      </c>
      <c r="C25" s="9">
        <v>0.35416666666666669</v>
      </c>
      <c r="D25" s="9">
        <v>0.40625</v>
      </c>
      <c r="E25" s="10">
        <f t="shared" ref="E25" si="12">D25-C25</f>
        <v>5.2083333333333315E-2</v>
      </c>
      <c r="F25" s="10">
        <v>0</v>
      </c>
      <c r="G25" s="1" t="s">
        <v>59</v>
      </c>
      <c r="H25" s="1" t="s">
        <v>60</v>
      </c>
      <c r="I25" s="11" t="s">
        <v>66</v>
      </c>
      <c r="J25" s="11">
        <v>1</v>
      </c>
      <c r="K25" s="3" t="s">
        <v>67</v>
      </c>
      <c r="L25" s="3" t="s">
        <v>34</v>
      </c>
      <c r="M25" s="23" t="s">
        <v>61</v>
      </c>
      <c r="N25" s="25">
        <v>5</v>
      </c>
      <c r="O25" s="22" t="s">
        <v>30</v>
      </c>
    </row>
    <row r="26" spans="1:15" ht="30" hidden="1">
      <c r="A26" s="1" t="s">
        <v>58</v>
      </c>
      <c r="B26" s="8">
        <v>46035</v>
      </c>
      <c r="C26" s="9">
        <v>0.54166666666666663</v>
      </c>
      <c r="D26" s="9">
        <v>0.625</v>
      </c>
      <c r="E26" s="10">
        <f t="shared" si="5"/>
        <v>8.333333333333337E-2</v>
      </c>
      <c r="F26" s="10">
        <v>0</v>
      </c>
      <c r="G26" s="1" t="s">
        <v>68</v>
      </c>
      <c r="H26" s="1" t="s">
        <v>69</v>
      </c>
      <c r="I26" s="11" t="s">
        <v>53</v>
      </c>
      <c r="J26" s="11">
        <v>5</v>
      </c>
      <c r="K26" s="3"/>
      <c r="L26" s="3" t="s">
        <v>34</v>
      </c>
      <c r="M26" s="6" t="s">
        <v>21</v>
      </c>
      <c r="N26" s="25">
        <v>30</v>
      </c>
      <c r="O26" s="22" t="s">
        <v>27</v>
      </c>
    </row>
    <row r="27" spans="1:15" ht="30" hidden="1">
      <c r="A27" s="1" t="s">
        <v>58</v>
      </c>
      <c r="B27" s="8">
        <v>46035</v>
      </c>
      <c r="C27" s="9">
        <v>0.54166666666666663</v>
      </c>
      <c r="D27" s="9">
        <v>0.64583333333333337</v>
      </c>
      <c r="E27" s="10">
        <f t="shared" ref="E27" si="13">D27-C27</f>
        <v>0.10416666666666674</v>
      </c>
      <c r="F27" s="10">
        <v>0</v>
      </c>
      <c r="G27" s="1" t="s">
        <v>68</v>
      </c>
      <c r="H27" s="1" t="s">
        <v>69</v>
      </c>
      <c r="I27" s="11" t="s">
        <v>53</v>
      </c>
      <c r="J27" s="11">
        <v>5</v>
      </c>
      <c r="K27" s="3" t="s">
        <v>70</v>
      </c>
      <c r="L27" s="3" t="s">
        <v>34</v>
      </c>
      <c r="M27" s="6" t="s">
        <v>21</v>
      </c>
      <c r="N27" s="25">
        <v>3</v>
      </c>
      <c r="O27" s="22" t="s">
        <v>30</v>
      </c>
    </row>
    <row r="28" spans="1:15" ht="30" hidden="1">
      <c r="A28" s="1" t="s">
        <v>15</v>
      </c>
      <c r="B28" s="8">
        <v>46036</v>
      </c>
      <c r="C28" s="9">
        <v>0.35416666666666669</v>
      </c>
      <c r="D28" s="9">
        <v>0.39583333333333331</v>
      </c>
      <c r="E28" s="10">
        <f t="shared" si="5"/>
        <v>4.166666666666663E-2</v>
      </c>
      <c r="F28" s="10">
        <v>0</v>
      </c>
      <c r="G28" s="1" t="s">
        <v>71</v>
      </c>
      <c r="H28" s="1" t="s">
        <v>72</v>
      </c>
      <c r="I28" s="11" t="s">
        <v>53</v>
      </c>
      <c r="J28" s="11">
        <v>1</v>
      </c>
      <c r="K28" s="12" t="s">
        <v>73</v>
      </c>
      <c r="L28" s="3" t="s">
        <v>34</v>
      </c>
      <c r="M28" s="3" t="s">
        <v>74</v>
      </c>
      <c r="N28" s="25">
        <v>33</v>
      </c>
      <c r="O28" s="22" t="s">
        <v>46</v>
      </c>
    </row>
    <row r="29" spans="1:15" ht="30" hidden="1">
      <c r="A29" s="1" t="s">
        <v>15</v>
      </c>
      <c r="B29" s="8">
        <v>46036</v>
      </c>
      <c r="C29" s="9">
        <v>0.35416666666666669</v>
      </c>
      <c r="D29" s="9">
        <v>0.40625</v>
      </c>
      <c r="E29" s="10">
        <f t="shared" ref="E29" si="14">D29-C29</f>
        <v>5.2083333333333315E-2</v>
      </c>
      <c r="F29" s="10">
        <v>0</v>
      </c>
      <c r="G29" s="1" t="s">
        <v>71</v>
      </c>
      <c r="H29" s="1" t="s">
        <v>72</v>
      </c>
      <c r="I29" s="11" t="s">
        <v>53</v>
      </c>
      <c r="J29" s="11">
        <v>1</v>
      </c>
      <c r="K29" s="12" t="s">
        <v>57</v>
      </c>
      <c r="L29" s="3" t="s">
        <v>34</v>
      </c>
      <c r="M29" s="3" t="s">
        <v>74</v>
      </c>
      <c r="N29" s="25">
        <v>5</v>
      </c>
      <c r="O29" s="22" t="s">
        <v>48</v>
      </c>
    </row>
    <row r="30" spans="1:15" hidden="1">
      <c r="A30" s="1" t="s">
        <v>15</v>
      </c>
      <c r="B30" s="8">
        <v>46036</v>
      </c>
      <c r="C30" s="9">
        <v>0.5625</v>
      </c>
      <c r="D30" s="9">
        <v>0.625</v>
      </c>
      <c r="E30" s="10">
        <f t="shared" si="5"/>
        <v>6.25E-2</v>
      </c>
      <c r="F30" s="10">
        <v>0</v>
      </c>
      <c r="G30" s="1" t="s">
        <v>75</v>
      </c>
      <c r="H30" s="1" t="s">
        <v>76</v>
      </c>
      <c r="I30" s="11" t="s">
        <v>18</v>
      </c>
      <c r="J30" s="11">
        <v>3</v>
      </c>
      <c r="K30" s="3" t="s">
        <v>77</v>
      </c>
      <c r="L30" s="3" t="s">
        <v>78</v>
      </c>
      <c r="M30" s="6" t="s">
        <v>21</v>
      </c>
      <c r="N30" s="25">
        <v>27</v>
      </c>
      <c r="O30" s="22" t="s">
        <v>46</v>
      </c>
    </row>
    <row r="31" spans="1:15" hidden="1">
      <c r="A31" s="1" t="s">
        <v>15</v>
      </c>
      <c r="B31" s="8">
        <v>46036</v>
      </c>
      <c r="C31" s="9">
        <v>0.5625</v>
      </c>
      <c r="D31" s="9">
        <v>0.625</v>
      </c>
      <c r="E31" s="10">
        <f t="shared" si="5"/>
        <v>6.25E-2</v>
      </c>
      <c r="F31" s="10">
        <v>0</v>
      </c>
      <c r="G31" s="1" t="s">
        <v>79</v>
      </c>
      <c r="H31" s="1" t="s">
        <v>76</v>
      </c>
      <c r="I31" s="11" t="s">
        <v>18</v>
      </c>
      <c r="J31" s="11">
        <v>3</v>
      </c>
      <c r="K31" s="3" t="s">
        <v>80</v>
      </c>
      <c r="L31" s="3" t="s">
        <v>78</v>
      </c>
      <c r="M31" s="6" t="s">
        <v>21</v>
      </c>
      <c r="N31" s="25">
        <v>19</v>
      </c>
      <c r="O31" s="22" t="s">
        <v>27</v>
      </c>
    </row>
    <row r="32" spans="1:15" hidden="1">
      <c r="A32" s="1" t="s">
        <v>15</v>
      </c>
      <c r="B32" s="8">
        <v>46036</v>
      </c>
      <c r="C32" s="9">
        <v>0.5625</v>
      </c>
      <c r="D32" s="9">
        <v>0.625</v>
      </c>
      <c r="E32" s="10">
        <f t="shared" ref="E32" si="15">D32-C32</f>
        <v>6.25E-2</v>
      </c>
      <c r="F32" s="10">
        <v>0</v>
      </c>
      <c r="G32" s="1" t="s">
        <v>79</v>
      </c>
      <c r="H32" s="1" t="s">
        <v>76</v>
      </c>
      <c r="I32" s="11" t="s">
        <v>18</v>
      </c>
      <c r="J32" s="11">
        <v>3</v>
      </c>
      <c r="K32" s="3" t="s">
        <v>81</v>
      </c>
      <c r="L32" s="3" t="s">
        <v>78</v>
      </c>
      <c r="M32" s="6" t="s">
        <v>21</v>
      </c>
      <c r="N32" s="25">
        <v>19</v>
      </c>
      <c r="O32" s="22" t="s">
        <v>56</v>
      </c>
    </row>
    <row r="33" spans="1:15" ht="90" hidden="1">
      <c r="A33" s="1" t="s">
        <v>31</v>
      </c>
      <c r="B33" s="8">
        <v>46037</v>
      </c>
      <c r="C33" s="9">
        <v>0.375</v>
      </c>
      <c r="D33" s="9">
        <v>0.41666666666666669</v>
      </c>
      <c r="E33" s="10">
        <f t="shared" si="5"/>
        <v>4.1666666666666685E-2</v>
      </c>
      <c r="F33" s="10">
        <v>0</v>
      </c>
      <c r="G33" s="1" t="s">
        <v>82</v>
      </c>
      <c r="H33" s="1" t="s">
        <v>83</v>
      </c>
      <c r="I33" s="11" t="s">
        <v>84</v>
      </c>
      <c r="J33" s="11"/>
      <c r="K33" s="11"/>
      <c r="L33" s="3" t="s">
        <v>34</v>
      </c>
      <c r="M33" s="3" t="s">
        <v>21</v>
      </c>
      <c r="N33" s="25">
        <v>16</v>
      </c>
      <c r="O33" s="22" t="s">
        <v>22</v>
      </c>
    </row>
    <row r="34" spans="1:15" ht="45" hidden="1">
      <c r="A34" s="1" t="s">
        <v>31</v>
      </c>
      <c r="B34" s="8">
        <v>46037</v>
      </c>
      <c r="C34" s="9">
        <v>0.375</v>
      </c>
      <c r="D34" s="9">
        <v>0.4375</v>
      </c>
      <c r="E34" s="10">
        <f t="shared" si="5"/>
        <v>6.25E-2</v>
      </c>
      <c r="F34" s="10">
        <v>0</v>
      </c>
      <c r="G34" s="1" t="s">
        <v>85</v>
      </c>
      <c r="H34" s="1" t="s">
        <v>86</v>
      </c>
      <c r="I34" s="11" t="s">
        <v>84</v>
      </c>
      <c r="J34" s="11"/>
      <c r="K34" s="11"/>
      <c r="L34" s="3" t="s">
        <v>34</v>
      </c>
      <c r="M34" s="3" t="s">
        <v>87</v>
      </c>
      <c r="N34" s="25">
        <v>23</v>
      </c>
      <c r="O34" s="22" t="s">
        <v>24</v>
      </c>
    </row>
    <row r="35" spans="1:15" ht="45" hidden="1">
      <c r="A35" s="1" t="s">
        <v>31</v>
      </c>
      <c r="B35" s="8">
        <v>46037</v>
      </c>
      <c r="C35" s="9">
        <v>0.375</v>
      </c>
      <c r="D35" s="9">
        <v>0.4548611111111111</v>
      </c>
      <c r="E35" s="10">
        <f t="shared" ref="E35" si="16">D35-C35</f>
        <v>7.9861111111111105E-2</v>
      </c>
      <c r="F35" s="10">
        <v>0</v>
      </c>
      <c r="G35" s="1" t="s">
        <v>85</v>
      </c>
      <c r="H35" s="1" t="s">
        <v>86</v>
      </c>
      <c r="I35" s="11" t="s">
        <v>84</v>
      </c>
      <c r="J35" s="11"/>
      <c r="K35" s="11" t="s">
        <v>70</v>
      </c>
      <c r="L35" s="3" t="s">
        <v>34</v>
      </c>
      <c r="M35" s="3" t="s">
        <v>87</v>
      </c>
      <c r="N35" s="25">
        <v>3</v>
      </c>
      <c r="O35" s="22" t="s">
        <v>30</v>
      </c>
    </row>
    <row r="36" spans="1:15" ht="60" hidden="1">
      <c r="A36" s="1" t="s">
        <v>31</v>
      </c>
      <c r="B36" s="8">
        <v>46037</v>
      </c>
      <c r="C36" s="9">
        <v>0.375</v>
      </c>
      <c r="D36" s="9">
        <v>0.4375</v>
      </c>
      <c r="E36" s="10">
        <f t="shared" si="5"/>
        <v>6.25E-2</v>
      </c>
      <c r="F36" s="10">
        <v>0</v>
      </c>
      <c r="G36" s="1" t="s">
        <v>88</v>
      </c>
      <c r="H36" s="1" t="s">
        <v>89</v>
      </c>
      <c r="I36" s="11" t="s">
        <v>84</v>
      </c>
      <c r="J36" s="11"/>
      <c r="K36" s="3"/>
      <c r="L36" s="3" t="s">
        <v>90</v>
      </c>
      <c r="M36" s="6" t="s">
        <v>21</v>
      </c>
      <c r="N36" s="25">
        <v>30</v>
      </c>
      <c r="O36" s="22" t="s">
        <v>46</v>
      </c>
    </row>
    <row r="37" spans="1:15" ht="60" hidden="1">
      <c r="A37" s="1" t="s">
        <v>31</v>
      </c>
      <c r="B37" s="8">
        <v>46037</v>
      </c>
      <c r="C37" s="9">
        <v>0.375</v>
      </c>
      <c r="D37" s="9">
        <v>0.4548611111111111</v>
      </c>
      <c r="E37" s="10">
        <f t="shared" ref="E37" si="17">D37-C37</f>
        <v>7.9861111111111105E-2</v>
      </c>
      <c r="F37" s="10">
        <v>0</v>
      </c>
      <c r="G37" s="1" t="s">
        <v>88</v>
      </c>
      <c r="H37" s="1" t="s">
        <v>89</v>
      </c>
      <c r="I37" s="11" t="s">
        <v>84</v>
      </c>
      <c r="J37" s="11"/>
      <c r="K37" s="3" t="s">
        <v>70</v>
      </c>
      <c r="L37" s="3" t="s">
        <v>90</v>
      </c>
      <c r="M37" s="6" t="s">
        <v>21</v>
      </c>
      <c r="N37" s="25">
        <v>1</v>
      </c>
      <c r="O37" s="22" t="s">
        <v>39</v>
      </c>
    </row>
    <row r="38" spans="1:15" ht="90" hidden="1">
      <c r="A38" s="1" t="s">
        <v>31</v>
      </c>
      <c r="B38" s="8">
        <v>46037</v>
      </c>
      <c r="C38" s="9">
        <v>0.44791666666666669</v>
      </c>
      <c r="D38" s="9">
        <v>0.48958333333333331</v>
      </c>
      <c r="E38" s="10">
        <f t="shared" si="5"/>
        <v>4.166666666666663E-2</v>
      </c>
      <c r="F38" s="10">
        <v>0</v>
      </c>
      <c r="G38" s="1" t="s">
        <v>91</v>
      </c>
      <c r="H38" s="1" t="s">
        <v>83</v>
      </c>
      <c r="I38" s="11" t="s">
        <v>84</v>
      </c>
      <c r="J38" s="11"/>
      <c r="K38" s="3"/>
      <c r="L38" s="3" t="s">
        <v>34</v>
      </c>
      <c r="M38" s="6" t="s">
        <v>21</v>
      </c>
      <c r="N38" s="25">
        <v>16</v>
      </c>
      <c r="O38" s="22" t="s">
        <v>22</v>
      </c>
    </row>
    <row r="39" spans="1:15" ht="45" hidden="1">
      <c r="A39" s="1" t="s">
        <v>31</v>
      </c>
      <c r="B39" s="8">
        <v>46037</v>
      </c>
      <c r="C39" s="9">
        <v>0.46875</v>
      </c>
      <c r="D39" s="9">
        <v>0.53125</v>
      </c>
      <c r="E39" s="10">
        <f t="shared" si="5"/>
        <v>6.25E-2</v>
      </c>
      <c r="F39" s="10">
        <v>0</v>
      </c>
      <c r="G39" s="1" t="s">
        <v>92</v>
      </c>
      <c r="H39" s="1" t="s">
        <v>93</v>
      </c>
      <c r="I39" s="11" t="s">
        <v>84</v>
      </c>
      <c r="J39" s="11"/>
      <c r="K39" s="3"/>
      <c r="L39" s="3" t="s">
        <v>34</v>
      </c>
      <c r="M39" s="3" t="s">
        <v>87</v>
      </c>
      <c r="N39" s="25">
        <v>24</v>
      </c>
      <c r="O39" s="22" t="s">
        <v>24</v>
      </c>
    </row>
    <row r="40" spans="1:15" ht="45" hidden="1">
      <c r="A40" s="1" t="s">
        <v>31</v>
      </c>
      <c r="B40" s="8">
        <v>46037</v>
      </c>
      <c r="C40" s="9">
        <v>0.46875</v>
      </c>
      <c r="D40" s="9">
        <v>0.54861111111111116</v>
      </c>
      <c r="E40" s="10">
        <f t="shared" ref="E40" si="18">D40-C40</f>
        <v>7.986111111111116E-2</v>
      </c>
      <c r="F40" s="10">
        <v>0</v>
      </c>
      <c r="G40" s="1" t="s">
        <v>92</v>
      </c>
      <c r="H40" s="1" t="s">
        <v>93</v>
      </c>
      <c r="I40" s="11" t="s">
        <v>84</v>
      </c>
      <c r="J40" s="11"/>
      <c r="K40" s="3" t="s">
        <v>70</v>
      </c>
      <c r="L40" s="3" t="s">
        <v>34</v>
      </c>
      <c r="M40" s="3" t="s">
        <v>87</v>
      </c>
      <c r="N40" s="25">
        <v>3</v>
      </c>
      <c r="O40" s="22" t="s">
        <v>30</v>
      </c>
    </row>
    <row r="41" spans="1:15" ht="60" hidden="1">
      <c r="A41" s="1" t="s">
        <v>31</v>
      </c>
      <c r="B41" s="8">
        <v>46037</v>
      </c>
      <c r="C41" s="9">
        <v>0.54166666666666663</v>
      </c>
      <c r="D41" s="9">
        <v>0.66666666666666663</v>
      </c>
      <c r="E41" s="10">
        <f t="shared" si="5"/>
        <v>0.125</v>
      </c>
      <c r="F41" s="10">
        <v>0</v>
      </c>
      <c r="G41" s="1" t="s">
        <v>94</v>
      </c>
      <c r="H41" s="1" t="s">
        <v>95</v>
      </c>
      <c r="I41" s="11" t="s">
        <v>84</v>
      </c>
      <c r="J41" s="11"/>
      <c r="K41" s="3"/>
      <c r="L41" s="3" t="s">
        <v>44</v>
      </c>
      <c r="M41" s="6" t="s">
        <v>96</v>
      </c>
      <c r="N41" s="25">
        <v>20</v>
      </c>
      <c r="O41" s="22" t="s">
        <v>22</v>
      </c>
    </row>
    <row r="42" spans="1:15" ht="60" hidden="1">
      <c r="A42" s="1" t="s">
        <v>31</v>
      </c>
      <c r="B42" s="8">
        <v>46037</v>
      </c>
      <c r="C42" s="9">
        <v>0.54166666666666663</v>
      </c>
      <c r="D42" s="9">
        <v>0.69791666666666663</v>
      </c>
      <c r="E42" s="10">
        <f t="shared" ref="E42" si="19">D42-C42</f>
        <v>0.15625</v>
      </c>
      <c r="F42" s="10">
        <v>0</v>
      </c>
      <c r="G42" s="1" t="s">
        <v>94</v>
      </c>
      <c r="H42" s="1" t="s">
        <v>95</v>
      </c>
      <c r="I42" s="11" t="s">
        <v>84</v>
      </c>
      <c r="J42" s="11"/>
      <c r="K42" s="3" t="s">
        <v>70</v>
      </c>
      <c r="L42" s="3" t="s">
        <v>44</v>
      </c>
      <c r="M42" s="6" t="s">
        <v>96</v>
      </c>
      <c r="N42" s="25">
        <v>4</v>
      </c>
      <c r="O42" s="22" t="s">
        <v>65</v>
      </c>
    </row>
    <row r="43" spans="1:15" ht="75">
      <c r="A43" s="1" t="s">
        <v>31</v>
      </c>
      <c r="B43" s="8">
        <v>46037</v>
      </c>
      <c r="C43" s="9">
        <v>0.60416666666666663</v>
      </c>
      <c r="D43" s="9">
        <v>0.66666666666666663</v>
      </c>
      <c r="E43" s="10">
        <f t="shared" si="5"/>
        <v>6.25E-2</v>
      </c>
      <c r="F43" s="10">
        <v>0</v>
      </c>
      <c r="G43" s="1" t="s">
        <v>97</v>
      </c>
      <c r="H43" s="1" t="s">
        <v>98</v>
      </c>
      <c r="I43" s="11" t="s">
        <v>84</v>
      </c>
      <c r="J43" s="11"/>
      <c r="K43" s="3"/>
      <c r="L43" s="3" t="s">
        <v>34</v>
      </c>
      <c r="M43" s="6" t="s">
        <v>99</v>
      </c>
      <c r="N43" s="25">
        <v>20</v>
      </c>
      <c r="O43" s="22" t="s">
        <v>46</v>
      </c>
    </row>
    <row r="44" spans="1:15" ht="30">
      <c r="A44" s="1" t="s">
        <v>100</v>
      </c>
      <c r="B44" s="8">
        <v>46038</v>
      </c>
      <c r="C44" s="9">
        <v>0.47916666666666669</v>
      </c>
      <c r="D44" s="9">
        <v>0.54166666666666663</v>
      </c>
      <c r="E44" s="10">
        <f t="shared" ref="E44:E81" si="20">D44-C44</f>
        <v>6.2499999999999944E-2</v>
      </c>
      <c r="F44" s="10">
        <v>0</v>
      </c>
      <c r="G44" s="1" t="s">
        <v>101</v>
      </c>
      <c r="H44" s="1" t="s">
        <v>102</v>
      </c>
      <c r="I44" s="11" t="s">
        <v>18</v>
      </c>
      <c r="J44" s="11">
        <v>1</v>
      </c>
      <c r="K44" s="3" t="s">
        <v>43</v>
      </c>
      <c r="L44" s="3" t="s">
        <v>103</v>
      </c>
      <c r="M44" s="6" t="s">
        <v>104</v>
      </c>
      <c r="N44" s="25">
        <v>19</v>
      </c>
      <c r="O44" s="22" t="s">
        <v>22</v>
      </c>
    </row>
    <row r="45" spans="1:15" ht="30">
      <c r="A45" s="1" t="s">
        <v>100</v>
      </c>
      <c r="B45" s="8">
        <v>46038</v>
      </c>
      <c r="C45" s="9">
        <v>0.47916666666666669</v>
      </c>
      <c r="D45" s="9">
        <v>0.54166666666666663</v>
      </c>
      <c r="E45" s="10">
        <f t="shared" si="20"/>
        <v>6.2499999999999944E-2</v>
      </c>
      <c r="F45" s="10">
        <v>0</v>
      </c>
      <c r="G45" s="1" t="s">
        <v>101</v>
      </c>
      <c r="H45" s="1" t="s">
        <v>105</v>
      </c>
      <c r="I45" s="11" t="s">
        <v>18</v>
      </c>
      <c r="J45" s="11">
        <v>1</v>
      </c>
      <c r="K45" s="12" t="s">
        <v>63</v>
      </c>
      <c r="L45" s="3" t="s">
        <v>103</v>
      </c>
      <c r="M45" s="6" t="s">
        <v>104</v>
      </c>
      <c r="N45" s="25">
        <v>19</v>
      </c>
      <c r="O45" s="22" t="s">
        <v>24</v>
      </c>
    </row>
    <row r="46" spans="1:15" ht="30">
      <c r="A46" s="1" t="s">
        <v>100</v>
      </c>
      <c r="B46" s="8">
        <v>46038</v>
      </c>
      <c r="C46" s="9">
        <v>0.47916666666666669</v>
      </c>
      <c r="D46" s="9">
        <v>0.54166666666666663</v>
      </c>
      <c r="E46" s="10">
        <f t="shared" ref="E46" si="21">D46-C46</f>
        <v>6.2499999999999944E-2</v>
      </c>
      <c r="F46" s="10">
        <v>0</v>
      </c>
      <c r="G46" s="1" t="s">
        <v>101</v>
      </c>
      <c r="H46" s="1" t="s">
        <v>105</v>
      </c>
      <c r="I46" s="11" t="s">
        <v>18</v>
      </c>
      <c r="J46" s="11">
        <v>1</v>
      </c>
      <c r="K46" s="12" t="s">
        <v>64</v>
      </c>
      <c r="L46" s="3" t="s">
        <v>103</v>
      </c>
      <c r="M46" s="6" t="s">
        <v>104</v>
      </c>
      <c r="N46" s="25">
        <v>17</v>
      </c>
      <c r="O46" s="22" t="s">
        <v>65</v>
      </c>
    </row>
    <row r="47" spans="1:15" ht="30">
      <c r="A47" s="1" t="s">
        <v>100</v>
      </c>
      <c r="B47" s="8">
        <v>46038</v>
      </c>
      <c r="C47" s="9">
        <v>0.47916666666666669</v>
      </c>
      <c r="D47" s="9">
        <v>0.54166666666666663</v>
      </c>
      <c r="E47" s="10">
        <f t="shared" si="20"/>
        <v>6.2499999999999944E-2</v>
      </c>
      <c r="F47" s="10">
        <v>0</v>
      </c>
      <c r="G47" s="1" t="s">
        <v>101</v>
      </c>
      <c r="H47" s="1" t="s">
        <v>105</v>
      </c>
      <c r="I47" s="11" t="s">
        <v>18</v>
      </c>
      <c r="J47" s="11">
        <v>1</v>
      </c>
      <c r="K47" s="12" t="s">
        <v>106</v>
      </c>
      <c r="L47" s="3" t="s">
        <v>103</v>
      </c>
      <c r="M47" s="6" t="s">
        <v>104</v>
      </c>
      <c r="N47" s="25">
        <v>18</v>
      </c>
      <c r="O47" s="22" t="s">
        <v>46</v>
      </c>
    </row>
    <row r="48" spans="1:15" ht="30">
      <c r="A48" s="1" t="s">
        <v>100</v>
      </c>
      <c r="B48" s="8">
        <v>46038</v>
      </c>
      <c r="C48" s="9">
        <v>0.47916666666666669</v>
      </c>
      <c r="D48" s="9">
        <v>0.54166666666666663</v>
      </c>
      <c r="E48" s="10">
        <f t="shared" ref="E48" si="22">D48-C48</f>
        <v>6.2499999999999944E-2</v>
      </c>
      <c r="F48" s="10">
        <v>0</v>
      </c>
      <c r="G48" s="1" t="s">
        <v>101</v>
      </c>
      <c r="H48" s="1" t="s">
        <v>105</v>
      </c>
      <c r="I48" s="11" t="s">
        <v>18</v>
      </c>
      <c r="J48" s="11">
        <v>1</v>
      </c>
      <c r="K48" s="12" t="s">
        <v>107</v>
      </c>
      <c r="L48" s="3" t="s">
        <v>103</v>
      </c>
      <c r="M48" s="6" t="s">
        <v>104</v>
      </c>
      <c r="N48" s="25">
        <v>16</v>
      </c>
      <c r="O48" s="22" t="s">
        <v>48</v>
      </c>
    </row>
    <row r="49" spans="1:15" ht="30">
      <c r="A49" s="1" t="s">
        <v>100</v>
      </c>
      <c r="B49" s="8">
        <v>46038</v>
      </c>
      <c r="C49" s="9">
        <v>0.47916666666666669</v>
      </c>
      <c r="D49" s="9">
        <v>0.54166666666666663</v>
      </c>
      <c r="E49" s="10">
        <f t="shared" si="20"/>
        <v>6.2499999999999944E-2</v>
      </c>
      <c r="F49" s="10">
        <v>0</v>
      </c>
      <c r="G49" s="1" t="s">
        <v>101</v>
      </c>
      <c r="H49" s="1" t="s">
        <v>102</v>
      </c>
      <c r="I49" s="11" t="s">
        <v>53</v>
      </c>
      <c r="J49" s="11">
        <v>1</v>
      </c>
      <c r="K49" s="3" t="s">
        <v>73</v>
      </c>
      <c r="L49" s="3" t="s">
        <v>103</v>
      </c>
      <c r="M49" s="6" t="s">
        <v>104</v>
      </c>
      <c r="N49" s="25">
        <v>32</v>
      </c>
      <c r="O49" s="22" t="s">
        <v>27</v>
      </c>
    </row>
    <row r="50" spans="1:15" ht="30">
      <c r="A50" s="1" t="s">
        <v>100</v>
      </c>
      <c r="B50" s="8">
        <v>46038</v>
      </c>
      <c r="C50" s="9">
        <v>0.47916666666666669</v>
      </c>
      <c r="D50" s="9">
        <v>0.55902777777777779</v>
      </c>
      <c r="E50" s="10">
        <f t="shared" ref="E50" si="23">D50-C50</f>
        <v>7.9861111111111105E-2</v>
      </c>
      <c r="F50" s="10">
        <v>0</v>
      </c>
      <c r="G50" s="1" t="s">
        <v>101</v>
      </c>
      <c r="H50" s="1" t="s">
        <v>102</v>
      </c>
      <c r="I50" s="11" t="s">
        <v>66</v>
      </c>
      <c r="J50" s="11">
        <v>1</v>
      </c>
      <c r="K50" s="3" t="s">
        <v>108</v>
      </c>
      <c r="L50" s="3" t="s">
        <v>103</v>
      </c>
      <c r="M50" s="6" t="s">
        <v>104</v>
      </c>
      <c r="N50" s="25">
        <v>3</v>
      </c>
      <c r="O50" s="22" t="s">
        <v>30</v>
      </c>
    </row>
    <row r="51" spans="1:15" ht="30" hidden="1">
      <c r="A51" s="1" t="s">
        <v>109</v>
      </c>
      <c r="B51" s="8">
        <v>46039</v>
      </c>
      <c r="C51" s="9">
        <v>0.375</v>
      </c>
      <c r="D51" s="9">
        <v>0.4375</v>
      </c>
      <c r="E51" s="10">
        <f>D51-C51</f>
        <v>6.25E-2</v>
      </c>
      <c r="F51" s="10">
        <v>0</v>
      </c>
      <c r="G51" s="1" t="s">
        <v>110</v>
      </c>
      <c r="H51" s="1" t="s">
        <v>111</v>
      </c>
      <c r="I51" s="11" t="s">
        <v>53</v>
      </c>
      <c r="J51" s="11">
        <v>3</v>
      </c>
      <c r="K51" s="3"/>
      <c r="L51" s="3" t="s">
        <v>34</v>
      </c>
      <c r="M51" s="3" t="s">
        <v>112</v>
      </c>
      <c r="N51" s="25">
        <v>29</v>
      </c>
      <c r="O51" s="22" t="s">
        <v>27</v>
      </c>
    </row>
    <row r="52" spans="1:15" ht="30" hidden="1">
      <c r="A52" s="1" t="s">
        <v>109</v>
      </c>
      <c r="B52" s="8">
        <v>46039</v>
      </c>
      <c r="C52" s="9">
        <v>0.375</v>
      </c>
      <c r="D52" s="9">
        <v>0.4548611111111111</v>
      </c>
      <c r="E52" s="10">
        <f>D52-C52</f>
        <v>7.9861111111111105E-2</v>
      </c>
      <c r="F52" s="10">
        <v>0</v>
      </c>
      <c r="G52" s="1" t="s">
        <v>110</v>
      </c>
      <c r="H52" s="1" t="s">
        <v>111</v>
      </c>
      <c r="I52" s="11" t="s">
        <v>53</v>
      </c>
      <c r="J52" s="11">
        <v>3</v>
      </c>
      <c r="K52" s="3" t="s">
        <v>70</v>
      </c>
      <c r="L52" s="3" t="s">
        <v>34</v>
      </c>
      <c r="M52" s="3" t="s">
        <v>112</v>
      </c>
      <c r="N52" s="25">
        <v>4</v>
      </c>
      <c r="O52" s="22" t="s">
        <v>30</v>
      </c>
    </row>
    <row r="53" spans="1:15" hidden="1">
      <c r="A53" s="1" t="s">
        <v>40</v>
      </c>
      <c r="B53" s="8">
        <v>46041</v>
      </c>
      <c r="C53" s="9">
        <v>0.375</v>
      </c>
      <c r="D53" s="9">
        <v>0.4375</v>
      </c>
      <c r="E53" s="10">
        <f>D53-C53</f>
        <v>6.25E-2</v>
      </c>
      <c r="F53" s="10">
        <v>0</v>
      </c>
      <c r="G53" s="1" t="s">
        <v>113</v>
      </c>
      <c r="H53" s="1" t="s">
        <v>114</v>
      </c>
      <c r="I53" s="11" t="s">
        <v>53</v>
      </c>
      <c r="J53" s="11">
        <v>1</v>
      </c>
      <c r="K53" s="3" t="s">
        <v>115</v>
      </c>
      <c r="L53" s="3" t="s">
        <v>34</v>
      </c>
      <c r="M53" s="6"/>
      <c r="N53" s="25">
        <v>16</v>
      </c>
      <c r="O53" s="22" t="s">
        <v>22</v>
      </c>
    </row>
    <row r="54" spans="1:15" hidden="1">
      <c r="A54" s="1" t="s">
        <v>40</v>
      </c>
      <c r="B54" s="8">
        <v>46041</v>
      </c>
      <c r="C54" s="9">
        <v>0.375</v>
      </c>
      <c r="D54" s="9">
        <v>0.4375</v>
      </c>
      <c r="E54" s="10">
        <f>D54-C54</f>
        <v>6.25E-2</v>
      </c>
      <c r="F54" s="10">
        <v>0</v>
      </c>
      <c r="G54" s="1" t="s">
        <v>113</v>
      </c>
      <c r="H54" s="1" t="s">
        <v>114</v>
      </c>
      <c r="I54" s="11" t="s">
        <v>53</v>
      </c>
      <c r="J54" s="11">
        <v>1</v>
      </c>
      <c r="K54" s="3" t="s">
        <v>116</v>
      </c>
      <c r="L54" s="3" t="s">
        <v>34</v>
      </c>
      <c r="M54" s="6"/>
      <c r="N54" s="25">
        <v>17</v>
      </c>
      <c r="O54" s="22" t="s">
        <v>65</v>
      </c>
    </row>
    <row r="55" spans="1:15" hidden="1">
      <c r="A55" s="1" t="s">
        <v>40</v>
      </c>
      <c r="B55" s="8">
        <v>46041</v>
      </c>
      <c r="C55" s="9">
        <v>0.375</v>
      </c>
      <c r="D55" s="9">
        <v>0.4548611111111111</v>
      </c>
      <c r="E55" s="10">
        <f>D55-C55</f>
        <v>7.9861111111111105E-2</v>
      </c>
      <c r="F55" s="10">
        <v>0</v>
      </c>
      <c r="G55" s="1" t="s">
        <v>113</v>
      </c>
      <c r="H55" s="1" t="s">
        <v>114</v>
      </c>
      <c r="I55" s="11" t="s">
        <v>53</v>
      </c>
      <c r="J55" s="11">
        <v>1</v>
      </c>
      <c r="K55" s="3" t="s">
        <v>70</v>
      </c>
      <c r="L55" s="3" t="s">
        <v>34</v>
      </c>
      <c r="M55" s="6"/>
      <c r="N55" s="25">
        <v>3</v>
      </c>
      <c r="O55" s="22" t="s">
        <v>30</v>
      </c>
    </row>
    <row r="56" spans="1:15" ht="30" hidden="1">
      <c r="A56" s="1" t="s">
        <v>40</v>
      </c>
      <c r="B56" s="8">
        <v>46041</v>
      </c>
      <c r="C56" s="9">
        <v>0.5625</v>
      </c>
      <c r="D56" s="9">
        <v>0.625</v>
      </c>
      <c r="E56" s="10">
        <f t="shared" si="20"/>
        <v>6.25E-2</v>
      </c>
      <c r="F56" s="10">
        <v>0</v>
      </c>
      <c r="G56" s="1" t="s">
        <v>117</v>
      </c>
      <c r="H56" s="1" t="s">
        <v>118</v>
      </c>
      <c r="I56" s="11" t="s">
        <v>53</v>
      </c>
      <c r="J56" s="11">
        <v>5</v>
      </c>
      <c r="K56" s="12" t="s">
        <v>119</v>
      </c>
      <c r="L56" s="3" t="s">
        <v>20</v>
      </c>
      <c r="M56" s="6" t="s">
        <v>120</v>
      </c>
      <c r="N56" s="25">
        <v>29</v>
      </c>
      <c r="O56" s="22" t="s">
        <v>27</v>
      </c>
    </row>
    <row r="57" spans="1:15" ht="30" hidden="1">
      <c r="A57" s="1" t="s">
        <v>40</v>
      </c>
      <c r="B57" s="8">
        <v>46041</v>
      </c>
      <c r="C57" s="9">
        <v>0.5625</v>
      </c>
      <c r="D57" s="9">
        <v>0.64236111111111116</v>
      </c>
      <c r="E57" s="10">
        <f t="shared" ref="E57" si="24">D57-C57</f>
        <v>7.986111111111116E-2</v>
      </c>
      <c r="F57" s="10">
        <v>0</v>
      </c>
      <c r="G57" s="1" t="s">
        <v>117</v>
      </c>
      <c r="H57" s="1" t="s">
        <v>118</v>
      </c>
      <c r="I57" s="11" t="s">
        <v>53</v>
      </c>
      <c r="J57" s="11">
        <v>5</v>
      </c>
      <c r="K57" s="12" t="s">
        <v>121</v>
      </c>
      <c r="L57" s="3" t="s">
        <v>20</v>
      </c>
      <c r="M57" s="6" t="s">
        <v>120</v>
      </c>
      <c r="N57" s="25">
        <v>3</v>
      </c>
      <c r="O57" s="22" t="s">
        <v>30</v>
      </c>
    </row>
    <row r="58" spans="1:15" hidden="1">
      <c r="A58" s="1" t="s">
        <v>58</v>
      </c>
      <c r="B58" s="8">
        <v>46042</v>
      </c>
      <c r="C58" s="9">
        <v>0.39583333333333331</v>
      </c>
      <c r="D58" s="9">
        <v>0.45833333333333331</v>
      </c>
      <c r="E58" s="10">
        <f t="shared" si="20"/>
        <v>6.25E-2</v>
      </c>
      <c r="F58" s="10">
        <v>0</v>
      </c>
      <c r="G58" s="1" t="s">
        <v>122</v>
      </c>
      <c r="H58" s="1" t="s">
        <v>123</v>
      </c>
      <c r="I58" s="11" t="s">
        <v>18</v>
      </c>
      <c r="J58" s="11">
        <v>3</v>
      </c>
      <c r="K58" s="3" t="s">
        <v>124</v>
      </c>
      <c r="L58" s="3" t="s">
        <v>34</v>
      </c>
      <c r="M58" s="3" t="s">
        <v>125</v>
      </c>
      <c r="N58" s="25">
        <v>16</v>
      </c>
      <c r="O58" s="22" t="s">
        <v>22</v>
      </c>
    </row>
    <row r="59" spans="1:15" ht="30" hidden="1">
      <c r="A59" s="1" t="s">
        <v>58</v>
      </c>
      <c r="B59" s="8">
        <v>46042</v>
      </c>
      <c r="C59" s="9">
        <v>0.39583333333333331</v>
      </c>
      <c r="D59" s="9">
        <v>0.45833333333333331</v>
      </c>
      <c r="E59" s="10">
        <f t="shared" ref="E59" si="25">D59-C59</f>
        <v>6.25E-2</v>
      </c>
      <c r="F59" s="10">
        <v>0</v>
      </c>
      <c r="G59" s="1" t="s">
        <v>126</v>
      </c>
      <c r="H59" s="1" t="s">
        <v>123</v>
      </c>
      <c r="I59" s="11" t="s">
        <v>127</v>
      </c>
      <c r="J59" s="11"/>
      <c r="K59" s="3"/>
      <c r="L59" s="20" t="s">
        <v>128</v>
      </c>
      <c r="M59" s="3" t="s">
        <v>125</v>
      </c>
      <c r="N59" s="26">
        <v>1</v>
      </c>
      <c r="O59" s="22" t="s">
        <v>22</v>
      </c>
    </row>
    <row r="60" spans="1:15" hidden="1">
      <c r="A60" s="1" t="s">
        <v>58</v>
      </c>
      <c r="B60" s="8">
        <v>46042</v>
      </c>
      <c r="C60" s="9">
        <v>0.39583333333333331</v>
      </c>
      <c r="D60" s="9">
        <v>0.45833333333333331</v>
      </c>
      <c r="E60" s="10">
        <f t="shared" ref="E60" si="26">D60-C60</f>
        <v>6.25E-2</v>
      </c>
      <c r="F60" s="10">
        <v>0</v>
      </c>
      <c r="G60" s="1" t="s">
        <v>122</v>
      </c>
      <c r="H60" s="1" t="s">
        <v>123</v>
      </c>
      <c r="I60" s="11" t="s">
        <v>18</v>
      </c>
      <c r="J60" s="11">
        <v>3</v>
      </c>
      <c r="K60" s="3" t="s">
        <v>129</v>
      </c>
      <c r="L60" s="3" t="s">
        <v>34</v>
      </c>
      <c r="M60" s="3" t="s">
        <v>125</v>
      </c>
      <c r="N60" s="25">
        <v>18</v>
      </c>
      <c r="O60" s="22" t="s">
        <v>65</v>
      </c>
    </row>
    <row r="61" spans="1:15" ht="95.25" hidden="1" customHeight="1">
      <c r="A61" s="1" t="s">
        <v>58</v>
      </c>
      <c r="B61" s="8">
        <v>46042</v>
      </c>
      <c r="C61" s="9">
        <v>0.39583333333333331</v>
      </c>
      <c r="D61" s="9">
        <v>0.45833333333333331</v>
      </c>
      <c r="E61" s="10">
        <f t="shared" si="20"/>
        <v>6.25E-2</v>
      </c>
      <c r="F61" s="10">
        <v>0</v>
      </c>
      <c r="G61" s="1" t="s">
        <v>130</v>
      </c>
      <c r="H61" s="1" t="s">
        <v>123</v>
      </c>
      <c r="I61" s="11" t="s">
        <v>18</v>
      </c>
      <c r="J61" s="11">
        <v>3</v>
      </c>
      <c r="K61" s="3" t="s">
        <v>124</v>
      </c>
      <c r="L61" s="3" t="s">
        <v>34</v>
      </c>
      <c r="M61" s="3" t="s">
        <v>125</v>
      </c>
      <c r="N61" s="25">
        <v>21</v>
      </c>
      <c r="O61" s="22" t="s">
        <v>27</v>
      </c>
    </row>
    <row r="62" spans="1:15" ht="95.25" hidden="1" customHeight="1">
      <c r="A62" s="1" t="s">
        <v>58</v>
      </c>
      <c r="B62" s="8">
        <v>46042</v>
      </c>
      <c r="C62" s="9">
        <v>0.39583333333333331</v>
      </c>
      <c r="D62" s="9">
        <v>0.45833333333333331</v>
      </c>
      <c r="E62" s="10">
        <f t="shared" ref="E62:E63" si="27">D62-C62</f>
        <v>6.25E-2</v>
      </c>
      <c r="F62" s="10">
        <v>0</v>
      </c>
      <c r="G62" s="1" t="s">
        <v>130</v>
      </c>
      <c r="H62" s="1" t="s">
        <v>123</v>
      </c>
      <c r="I62" s="11" t="s">
        <v>18</v>
      </c>
      <c r="J62" s="11">
        <v>3</v>
      </c>
      <c r="K62" s="3" t="s">
        <v>129</v>
      </c>
      <c r="L62" s="3" t="s">
        <v>34</v>
      </c>
      <c r="M62" s="3" t="s">
        <v>125</v>
      </c>
      <c r="N62" s="25">
        <v>22</v>
      </c>
      <c r="O62" s="22" t="s">
        <v>46</v>
      </c>
    </row>
    <row r="63" spans="1:15" ht="95.25" hidden="1" customHeight="1">
      <c r="A63" s="1" t="s">
        <v>58</v>
      </c>
      <c r="B63" s="8">
        <v>46042</v>
      </c>
      <c r="C63" s="9">
        <v>0.39583333333333331</v>
      </c>
      <c r="D63" s="9">
        <v>0.47569444444444442</v>
      </c>
      <c r="E63" s="10">
        <f t="shared" si="27"/>
        <v>7.9861111111111105E-2</v>
      </c>
      <c r="F63" s="10">
        <v>0</v>
      </c>
      <c r="G63" s="1" t="s">
        <v>131</v>
      </c>
      <c r="H63" s="1" t="s">
        <v>123</v>
      </c>
      <c r="I63" s="11" t="s">
        <v>18</v>
      </c>
      <c r="J63" s="11">
        <v>3</v>
      </c>
      <c r="K63" s="3" t="s">
        <v>70</v>
      </c>
      <c r="L63" s="3" t="s">
        <v>34</v>
      </c>
      <c r="M63" s="3" t="s">
        <v>125</v>
      </c>
      <c r="N63" s="25">
        <v>2</v>
      </c>
      <c r="O63" s="22" t="s">
        <v>30</v>
      </c>
    </row>
    <row r="64" spans="1:15" ht="95.25" hidden="1" customHeight="1">
      <c r="A64" s="1" t="s">
        <v>58</v>
      </c>
      <c r="B64" s="8">
        <v>46042</v>
      </c>
      <c r="C64" s="9">
        <v>0.47916666666666669</v>
      </c>
      <c r="D64" s="9">
        <v>0.52083333333333337</v>
      </c>
      <c r="E64" s="10">
        <f t="shared" si="20"/>
        <v>4.1666666666666685E-2</v>
      </c>
      <c r="F64" s="10">
        <v>0</v>
      </c>
      <c r="G64" s="1" t="s">
        <v>132</v>
      </c>
      <c r="H64" s="1" t="s">
        <v>133</v>
      </c>
      <c r="I64" s="11" t="s">
        <v>18</v>
      </c>
      <c r="J64" s="11">
        <v>7</v>
      </c>
      <c r="K64" s="3" t="s">
        <v>134</v>
      </c>
      <c r="L64" s="3" t="s">
        <v>135</v>
      </c>
      <c r="M64" s="6" t="s">
        <v>136</v>
      </c>
      <c r="N64" s="25">
        <v>17</v>
      </c>
      <c r="O64" s="22" t="s">
        <v>24</v>
      </c>
    </row>
    <row r="65" spans="1:15" ht="95.25" hidden="1" customHeight="1">
      <c r="A65" s="1" t="s">
        <v>58</v>
      </c>
      <c r="B65" s="8">
        <v>46042</v>
      </c>
      <c r="C65" s="9">
        <v>0.47916666666666669</v>
      </c>
      <c r="D65" s="9">
        <v>0.52083333333333337</v>
      </c>
      <c r="E65" s="10">
        <f t="shared" ref="E65:E66" si="28">D65-C65</f>
        <v>4.1666666666666685E-2</v>
      </c>
      <c r="F65" s="10">
        <v>0</v>
      </c>
      <c r="G65" s="1" t="s">
        <v>132</v>
      </c>
      <c r="H65" s="1" t="s">
        <v>133</v>
      </c>
      <c r="I65" s="11" t="s">
        <v>18</v>
      </c>
      <c r="J65" s="11">
        <v>7</v>
      </c>
      <c r="K65" s="3" t="s">
        <v>137</v>
      </c>
      <c r="L65" s="3" t="s">
        <v>135</v>
      </c>
      <c r="M65" s="6" t="s">
        <v>136</v>
      </c>
      <c r="N65" s="25">
        <v>18</v>
      </c>
      <c r="O65" s="22" t="s">
        <v>56</v>
      </c>
    </row>
    <row r="66" spans="1:15" ht="95.25" hidden="1" customHeight="1">
      <c r="A66" s="1" t="s">
        <v>58</v>
      </c>
      <c r="B66" s="8">
        <v>46042</v>
      </c>
      <c r="C66" s="9">
        <v>0.47916666666666669</v>
      </c>
      <c r="D66" s="9">
        <v>0.53125</v>
      </c>
      <c r="E66" s="10">
        <f t="shared" si="28"/>
        <v>5.2083333333333315E-2</v>
      </c>
      <c r="F66" s="10">
        <v>0</v>
      </c>
      <c r="G66" s="1" t="s">
        <v>138</v>
      </c>
      <c r="H66" s="1" t="s">
        <v>133</v>
      </c>
      <c r="I66" s="11" t="s">
        <v>18</v>
      </c>
      <c r="J66" s="11">
        <v>7</v>
      </c>
      <c r="K66" s="3" t="s">
        <v>139</v>
      </c>
      <c r="L66" s="3" t="s">
        <v>135</v>
      </c>
      <c r="M66" s="6" t="s">
        <v>136</v>
      </c>
      <c r="N66" s="25">
        <v>2</v>
      </c>
      <c r="O66" s="22" t="s">
        <v>39</v>
      </c>
    </row>
    <row r="67" spans="1:15" ht="30" hidden="1">
      <c r="A67" s="1" t="s">
        <v>58</v>
      </c>
      <c r="B67" s="8">
        <v>46042</v>
      </c>
      <c r="C67" s="9">
        <v>0.47916666666666669</v>
      </c>
      <c r="D67" s="9">
        <v>0.52083333333333337</v>
      </c>
      <c r="E67" s="10">
        <f t="shared" si="20"/>
        <v>4.1666666666666685E-2</v>
      </c>
      <c r="F67" s="10">
        <v>0</v>
      </c>
      <c r="G67" s="1" t="s">
        <v>140</v>
      </c>
      <c r="H67" s="1" t="s">
        <v>133</v>
      </c>
      <c r="I67" s="11" t="s">
        <v>18</v>
      </c>
      <c r="J67" s="11">
        <v>7</v>
      </c>
      <c r="K67" s="3" t="s">
        <v>141</v>
      </c>
      <c r="L67" s="3" t="s">
        <v>135</v>
      </c>
      <c r="M67" s="6" t="s">
        <v>136</v>
      </c>
      <c r="N67" s="25">
        <v>17</v>
      </c>
      <c r="O67" s="22" t="s">
        <v>52</v>
      </c>
    </row>
    <row r="68" spans="1:15" ht="30" hidden="1">
      <c r="A68" s="1" t="s">
        <v>58</v>
      </c>
      <c r="B68" s="8">
        <v>46042</v>
      </c>
      <c r="C68" s="9">
        <v>0.47916666666666669</v>
      </c>
      <c r="D68" s="9">
        <v>0.52083333333333337</v>
      </c>
      <c r="E68" s="10">
        <f t="shared" si="20"/>
        <v>4.1666666666666685E-2</v>
      </c>
      <c r="F68" s="10">
        <v>0</v>
      </c>
      <c r="G68" s="1" t="s">
        <v>142</v>
      </c>
      <c r="H68" s="1" t="s">
        <v>133</v>
      </c>
      <c r="I68" s="11" t="s">
        <v>18</v>
      </c>
      <c r="J68" s="11">
        <v>7</v>
      </c>
      <c r="K68" s="3" t="s">
        <v>143</v>
      </c>
      <c r="L68" s="3" t="s">
        <v>135</v>
      </c>
      <c r="M68" s="6" t="s">
        <v>136</v>
      </c>
      <c r="N68" s="25">
        <v>25</v>
      </c>
      <c r="O68" s="22" t="s">
        <v>48</v>
      </c>
    </row>
    <row r="69" spans="1:15" hidden="1">
      <c r="A69" s="1" t="s">
        <v>58</v>
      </c>
      <c r="B69" s="8">
        <v>46042</v>
      </c>
      <c r="C69" s="9">
        <v>0.5625</v>
      </c>
      <c r="D69" s="9">
        <v>0.60416666666666663</v>
      </c>
      <c r="E69" s="10">
        <f t="shared" si="20"/>
        <v>4.166666666666663E-2</v>
      </c>
      <c r="F69" s="10">
        <v>0</v>
      </c>
      <c r="G69" s="1" t="s">
        <v>144</v>
      </c>
      <c r="H69" s="1" t="s">
        <v>102</v>
      </c>
      <c r="I69" s="11" t="s">
        <v>53</v>
      </c>
      <c r="J69" s="11">
        <v>3</v>
      </c>
      <c r="K69" s="3"/>
      <c r="L69" s="21" t="s">
        <v>78</v>
      </c>
      <c r="M69" s="6" t="s">
        <v>145</v>
      </c>
      <c r="N69" s="25">
        <v>15</v>
      </c>
      <c r="O69" s="22" t="s">
        <v>22</v>
      </c>
    </row>
    <row r="70" spans="1:15" hidden="1">
      <c r="A70" s="1" t="s">
        <v>58</v>
      </c>
      <c r="B70" s="8">
        <v>46042</v>
      </c>
      <c r="C70" s="9">
        <v>0.5625</v>
      </c>
      <c r="D70" s="9">
        <v>0.61458333333333337</v>
      </c>
      <c r="E70" s="10">
        <f t="shared" ref="E70" si="29">D70-C70</f>
        <v>5.208333333333337E-2</v>
      </c>
      <c r="F70" s="10">
        <v>0</v>
      </c>
      <c r="G70" s="1" t="s">
        <v>144</v>
      </c>
      <c r="H70" s="1" t="s">
        <v>102</v>
      </c>
      <c r="I70" s="11" t="s">
        <v>53</v>
      </c>
      <c r="J70" s="11">
        <v>3</v>
      </c>
      <c r="K70" s="3" t="s">
        <v>70</v>
      </c>
      <c r="L70" s="21" t="s">
        <v>78</v>
      </c>
      <c r="M70" s="6" t="s">
        <v>145</v>
      </c>
      <c r="N70" s="25">
        <v>3</v>
      </c>
      <c r="O70" s="22" t="s">
        <v>30</v>
      </c>
    </row>
    <row r="71" spans="1:15" ht="123" hidden="1" customHeight="1">
      <c r="A71" s="1" t="s">
        <v>15</v>
      </c>
      <c r="B71" s="8">
        <v>46043</v>
      </c>
      <c r="C71" s="9">
        <v>0.375</v>
      </c>
      <c r="D71" s="9">
        <v>0.45833333333333331</v>
      </c>
      <c r="E71" s="10">
        <f t="shared" si="20"/>
        <v>8.3333333333333315E-2</v>
      </c>
      <c r="F71" s="10">
        <v>0</v>
      </c>
      <c r="G71" s="1" t="s">
        <v>146</v>
      </c>
      <c r="H71" s="1" t="s">
        <v>147</v>
      </c>
      <c r="I71" s="11" t="s">
        <v>18</v>
      </c>
      <c r="J71" s="11">
        <v>3</v>
      </c>
      <c r="K71" s="3"/>
      <c r="L71" s="3" t="s">
        <v>34</v>
      </c>
      <c r="M71" s="6" t="s">
        <v>21</v>
      </c>
      <c r="N71" s="25">
        <v>30</v>
      </c>
      <c r="O71" s="22" t="s">
        <v>27</v>
      </c>
    </row>
    <row r="72" spans="1:15" ht="30" hidden="1">
      <c r="A72" s="1" t="s">
        <v>15</v>
      </c>
      <c r="B72" s="8">
        <v>46043</v>
      </c>
      <c r="C72" s="9">
        <v>0.375</v>
      </c>
      <c r="D72" s="9">
        <v>0.45833333333333331</v>
      </c>
      <c r="E72" s="10">
        <f t="shared" si="20"/>
        <v>8.3333333333333315E-2</v>
      </c>
      <c r="F72" s="10">
        <v>0</v>
      </c>
      <c r="G72" s="1" t="s">
        <v>148</v>
      </c>
      <c r="H72" s="1" t="s">
        <v>147</v>
      </c>
      <c r="I72" s="11" t="s">
        <v>18</v>
      </c>
      <c r="J72" s="11">
        <v>3</v>
      </c>
      <c r="K72" s="3" t="s">
        <v>124</v>
      </c>
      <c r="L72" s="3" t="s">
        <v>34</v>
      </c>
      <c r="M72" s="6" t="s">
        <v>21</v>
      </c>
      <c r="N72" s="25">
        <v>20</v>
      </c>
      <c r="O72" s="22" t="s">
        <v>22</v>
      </c>
    </row>
    <row r="73" spans="1:15" ht="30" hidden="1">
      <c r="A73" s="1" t="s">
        <v>15</v>
      </c>
      <c r="B73" s="8">
        <v>46043</v>
      </c>
      <c r="C73" s="9">
        <v>0.375</v>
      </c>
      <c r="D73" s="9">
        <v>0.45833333333333331</v>
      </c>
      <c r="E73" s="10">
        <f t="shared" ref="E73" si="30">D73-C73</f>
        <v>8.3333333333333315E-2</v>
      </c>
      <c r="F73" s="10">
        <v>0</v>
      </c>
      <c r="G73" s="1" t="s">
        <v>148</v>
      </c>
      <c r="H73" s="1" t="s">
        <v>147</v>
      </c>
      <c r="I73" s="11" t="s">
        <v>18</v>
      </c>
      <c r="J73" s="11">
        <v>3</v>
      </c>
      <c r="K73" s="3" t="s">
        <v>129</v>
      </c>
      <c r="L73" s="3" t="s">
        <v>34</v>
      </c>
      <c r="M73" s="6" t="s">
        <v>21</v>
      </c>
      <c r="N73" s="25">
        <v>19</v>
      </c>
      <c r="O73" s="22" t="s">
        <v>65</v>
      </c>
    </row>
    <row r="74" spans="1:15" ht="30" hidden="1">
      <c r="A74" s="1" t="s">
        <v>15</v>
      </c>
      <c r="B74" s="8">
        <v>46043</v>
      </c>
      <c r="C74" s="9">
        <v>0.375</v>
      </c>
      <c r="D74" s="9">
        <v>0.45833333333333331</v>
      </c>
      <c r="E74" s="10">
        <f t="shared" si="20"/>
        <v>8.3333333333333315E-2</v>
      </c>
      <c r="F74" s="10">
        <v>0</v>
      </c>
      <c r="G74" s="1" t="s">
        <v>149</v>
      </c>
      <c r="H74" s="1" t="s">
        <v>150</v>
      </c>
      <c r="I74" s="11" t="s">
        <v>53</v>
      </c>
      <c r="J74" s="11">
        <v>3</v>
      </c>
      <c r="K74" s="3"/>
      <c r="L74" s="3" t="s">
        <v>34</v>
      </c>
      <c r="M74" s="6" t="s">
        <v>21</v>
      </c>
      <c r="N74" s="25">
        <v>21</v>
      </c>
      <c r="O74" s="22" t="s">
        <v>24</v>
      </c>
    </row>
    <row r="75" spans="1:15" ht="30" hidden="1">
      <c r="A75" s="1" t="s">
        <v>15</v>
      </c>
      <c r="B75" s="8">
        <v>46043</v>
      </c>
      <c r="C75" s="9">
        <v>0.375</v>
      </c>
      <c r="D75" s="9">
        <v>0.47916666666666669</v>
      </c>
      <c r="E75" s="10">
        <f t="shared" ref="E75" si="31">D75-C75</f>
        <v>0.10416666666666669</v>
      </c>
      <c r="F75" s="10">
        <v>0</v>
      </c>
      <c r="G75" s="1" t="s">
        <v>149</v>
      </c>
      <c r="H75" s="1" t="s">
        <v>150</v>
      </c>
      <c r="I75" s="11" t="s">
        <v>53</v>
      </c>
      <c r="J75" s="11">
        <v>3</v>
      </c>
      <c r="K75" s="3" t="s">
        <v>70</v>
      </c>
      <c r="L75" s="3" t="s">
        <v>34</v>
      </c>
      <c r="M75" s="6" t="s">
        <v>21</v>
      </c>
      <c r="N75" s="25">
        <v>4</v>
      </c>
      <c r="O75" s="22" t="s">
        <v>30</v>
      </c>
    </row>
    <row r="76" spans="1:15" ht="90" hidden="1">
      <c r="A76" s="1" t="s">
        <v>31</v>
      </c>
      <c r="B76" s="8">
        <v>46044</v>
      </c>
      <c r="C76" s="9">
        <v>0.375</v>
      </c>
      <c r="D76" s="9">
        <v>0.41666666666666669</v>
      </c>
      <c r="E76" s="10">
        <f t="shared" si="20"/>
        <v>4.1666666666666685E-2</v>
      </c>
      <c r="F76" s="10">
        <v>0</v>
      </c>
      <c r="G76" s="1" t="s">
        <v>151</v>
      </c>
      <c r="H76" s="1" t="s">
        <v>152</v>
      </c>
      <c r="I76" s="11" t="s">
        <v>18</v>
      </c>
      <c r="J76" s="11">
        <v>1</v>
      </c>
      <c r="K76" s="12" t="s">
        <v>43</v>
      </c>
      <c r="L76" s="3" t="s">
        <v>44</v>
      </c>
      <c r="M76" s="3"/>
      <c r="N76" s="25">
        <v>25</v>
      </c>
      <c r="O76" s="22" t="s">
        <v>27</v>
      </c>
    </row>
    <row r="77" spans="1:15" ht="90" hidden="1">
      <c r="A77" s="1" t="s">
        <v>31</v>
      </c>
      <c r="B77" s="8">
        <v>46044</v>
      </c>
      <c r="C77" s="9">
        <v>0.375</v>
      </c>
      <c r="D77" s="9">
        <v>0.41666666666666669</v>
      </c>
      <c r="E77" s="10">
        <f t="shared" si="20"/>
        <v>4.1666666666666685E-2</v>
      </c>
      <c r="F77" s="10">
        <v>0</v>
      </c>
      <c r="G77" s="1" t="s">
        <v>151</v>
      </c>
      <c r="H77" s="1" t="s">
        <v>152</v>
      </c>
      <c r="I77" s="11" t="s">
        <v>18</v>
      </c>
      <c r="J77" s="11"/>
      <c r="K77" s="12" t="s">
        <v>63</v>
      </c>
      <c r="L77" s="3" t="s">
        <v>44</v>
      </c>
      <c r="M77" s="3"/>
      <c r="N77" s="25">
        <v>20</v>
      </c>
      <c r="O77" s="22" t="s">
        <v>22</v>
      </c>
    </row>
    <row r="78" spans="1:15" ht="90" hidden="1">
      <c r="A78" s="1" t="s">
        <v>31</v>
      </c>
      <c r="B78" s="8">
        <v>46044</v>
      </c>
      <c r="C78" s="9">
        <v>0.375</v>
      </c>
      <c r="D78" s="9">
        <v>0.41666666666666669</v>
      </c>
      <c r="E78" s="10">
        <f t="shared" ref="E78" si="32">D78-C78</f>
        <v>4.1666666666666685E-2</v>
      </c>
      <c r="F78" s="10">
        <v>0</v>
      </c>
      <c r="G78" s="1" t="s">
        <v>151</v>
      </c>
      <c r="H78" s="1" t="s">
        <v>152</v>
      </c>
      <c r="I78" s="11" t="s">
        <v>18</v>
      </c>
      <c r="J78" s="11"/>
      <c r="K78" s="12" t="s">
        <v>64</v>
      </c>
      <c r="L78" s="3" t="s">
        <v>44</v>
      </c>
      <c r="M78" s="3"/>
      <c r="N78" s="25">
        <v>17</v>
      </c>
      <c r="O78" s="22" t="s">
        <v>24</v>
      </c>
    </row>
    <row r="79" spans="1:15" ht="90" hidden="1">
      <c r="A79" s="1" t="s">
        <v>31</v>
      </c>
      <c r="B79" s="8">
        <v>46044</v>
      </c>
      <c r="C79" s="9">
        <v>0.375</v>
      </c>
      <c r="D79" s="9">
        <v>0.41666666666666669</v>
      </c>
      <c r="E79" s="10">
        <f t="shared" si="20"/>
        <v>4.1666666666666685E-2</v>
      </c>
      <c r="F79" s="10">
        <v>0</v>
      </c>
      <c r="G79" s="1" t="s">
        <v>151</v>
      </c>
      <c r="H79" s="1" t="s">
        <v>152</v>
      </c>
      <c r="I79" s="11" t="s">
        <v>18</v>
      </c>
      <c r="J79" s="11">
        <v>1</v>
      </c>
      <c r="K79" s="12" t="s">
        <v>49</v>
      </c>
      <c r="L79" s="3" t="s">
        <v>44</v>
      </c>
      <c r="M79" s="3"/>
      <c r="N79" s="25">
        <v>18</v>
      </c>
      <c r="O79" s="22" t="s">
        <v>46</v>
      </c>
    </row>
    <row r="80" spans="1:15" ht="90" hidden="1">
      <c r="A80" s="1" t="s">
        <v>31</v>
      </c>
      <c r="B80" s="8">
        <v>46044</v>
      </c>
      <c r="C80" s="9">
        <v>0.375</v>
      </c>
      <c r="D80" s="9">
        <v>0.41666666666666669</v>
      </c>
      <c r="E80" s="10">
        <f t="shared" ref="E80" si="33">D80-C80</f>
        <v>4.1666666666666685E-2</v>
      </c>
      <c r="F80" s="10">
        <v>0</v>
      </c>
      <c r="G80" s="1" t="s">
        <v>151</v>
      </c>
      <c r="H80" s="1" t="s">
        <v>152</v>
      </c>
      <c r="I80" s="11" t="s">
        <v>18</v>
      </c>
      <c r="J80" s="11">
        <v>1</v>
      </c>
      <c r="K80" s="12" t="s">
        <v>51</v>
      </c>
      <c r="L80" s="3" t="s">
        <v>44</v>
      </c>
      <c r="M80" s="3"/>
      <c r="N80" s="25">
        <v>19</v>
      </c>
      <c r="O80" s="22" t="s">
        <v>48</v>
      </c>
    </row>
    <row r="81" spans="1:15" ht="90" hidden="1">
      <c r="A81" s="1" t="s">
        <v>31</v>
      </c>
      <c r="B81" s="8">
        <v>46044</v>
      </c>
      <c r="C81" s="9">
        <v>0.375</v>
      </c>
      <c r="D81" s="9">
        <v>0.41666666666666669</v>
      </c>
      <c r="E81" s="10">
        <f t="shared" si="20"/>
        <v>4.1666666666666685E-2</v>
      </c>
      <c r="F81" s="10">
        <v>0</v>
      </c>
      <c r="G81" s="1" t="s">
        <v>151</v>
      </c>
      <c r="H81" s="1" t="s">
        <v>152</v>
      </c>
      <c r="I81" s="11" t="s">
        <v>53</v>
      </c>
      <c r="J81" s="11">
        <v>1</v>
      </c>
      <c r="K81" s="12" t="s">
        <v>54</v>
      </c>
      <c r="L81" s="3" t="s">
        <v>44</v>
      </c>
      <c r="M81" s="3"/>
      <c r="N81" s="25">
        <v>18</v>
      </c>
      <c r="O81" s="22" t="s">
        <v>65</v>
      </c>
    </row>
    <row r="82" spans="1:15" ht="90" hidden="1">
      <c r="A82" s="1" t="s">
        <v>31</v>
      </c>
      <c r="B82" s="8">
        <v>46044</v>
      </c>
      <c r="C82" s="9">
        <v>0.375</v>
      </c>
      <c r="D82" s="9">
        <v>0.41666666666666669</v>
      </c>
      <c r="E82" s="10">
        <f t="shared" ref="E82" si="34">D82-C82</f>
        <v>4.1666666666666685E-2</v>
      </c>
      <c r="F82" s="10">
        <v>0</v>
      </c>
      <c r="G82" s="1" t="s">
        <v>151</v>
      </c>
      <c r="H82" s="1" t="s">
        <v>152</v>
      </c>
      <c r="I82" s="11" t="s">
        <v>53</v>
      </c>
      <c r="J82" s="11">
        <v>1</v>
      </c>
      <c r="K82" s="12" t="s">
        <v>55</v>
      </c>
      <c r="L82" s="3" t="s">
        <v>44</v>
      </c>
      <c r="M82" s="3"/>
      <c r="N82" s="25">
        <v>21</v>
      </c>
      <c r="O82" s="22" t="s">
        <v>56</v>
      </c>
    </row>
    <row r="83" spans="1:15" ht="90" hidden="1">
      <c r="A83" s="1" t="s">
        <v>31</v>
      </c>
      <c r="B83" s="8">
        <v>46044</v>
      </c>
      <c r="C83" s="9">
        <v>0.375</v>
      </c>
      <c r="D83" s="9">
        <v>0.42708333333333331</v>
      </c>
      <c r="E83" s="10">
        <f t="shared" ref="E83" si="35">D83-C83</f>
        <v>5.2083333333333315E-2</v>
      </c>
      <c r="F83" s="10">
        <v>0</v>
      </c>
      <c r="G83" s="1" t="s">
        <v>151</v>
      </c>
      <c r="H83" s="1" t="s">
        <v>152</v>
      </c>
      <c r="I83" s="11" t="s">
        <v>66</v>
      </c>
      <c r="J83" s="11">
        <v>1</v>
      </c>
      <c r="K83" s="12" t="s">
        <v>153</v>
      </c>
      <c r="L83" s="3" t="s">
        <v>44</v>
      </c>
      <c r="M83" s="3"/>
      <c r="N83" s="25">
        <v>6</v>
      </c>
      <c r="O83" s="22" t="s">
        <v>30</v>
      </c>
    </row>
    <row r="84" spans="1:15" ht="45" hidden="1">
      <c r="A84" s="1" t="s">
        <v>31</v>
      </c>
      <c r="B84" s="8">
        <v>46044</v>
      </c>
      <c r="C84" s="9">
        <v>0.45833333333333331</v>
      </c>
      <c r="D84" s="9">
        <v>0.52083333333333337</v>
      </c>
      <c r="E84" s="10">
        <f>D84-C84</f>
        <v>6.2500000000000056E-2</v>
      </c>
      <c r="F84" s="10">
        <v>0</v>
      </c>
      <c r="G84" s="1" t="s">
        <v>154</v>
      </c>
      <c r="H84" s="1" t="s">
        <v>155</v>
      </c>
      <c r="I84" s="11" t="s">
        <v>127</v>
      </c>
      <c r="J84" s="11"/>
      <c r="K84" s="3"/>
      <c r="L84" s="3" t="s">
        <v>128</v>
      </c>
      <c r="M84" s="6" t="s">
        <v>156</v>
      </c>
      <c r="N84" s="25">
        <v>1</v>
      </c>
      <c r="O84" s="22" t="s">
        <v>39</v>
      </c>
    </row>
    <row r="85" spans="1:15" ht="75" hidden="1">
      <c r="A85" s="1" t="s">
        <v>31</v>
      </c>
      <c r="B85" s="8">
        <v>46044</v>
      </c>
      <c r="C85" s="9">
        <v>0.54166666666666663</v>
      </c>
      <c r="D85" s="9">
        <v>0.64583333333333337</v>
      </c>
      <c r="E85" s="10">
        <f t="shared" ref="E85:E87" si="36">D85-C85</f>
        <v>0.10416666666666674</v>
      </c>
      <c r="F85" s="10">
        <v>1.0416666666666666E-2</v>
      </c>
      <c r="G85" s="1" t="s">
        <v>157</v>
      </c>
      <c r="H85" s="1" t="s">
        <v>158</v>
      </c>
      <c r="I85" s="11" t="s">
        <v>53</v>
      </c>
      <c r="J85" s="11">
        <v>3</v>
      </c>
      <c r="K85" s="3"/>
      <c r="L85" s="3" t="s">
        <v>159</v>
      </c>
      <c r="M85" s="3" t="s">
        <v>160</v>
      </c>
      <c r="N85" s="25">
        <v>20</v>
      </c>
      <c r="O85" s="22" t="s">
        <v>22</v>
      </c>
    </row>
    <row r="86" spans="1:15" ht="75" hidden="1">
      <c r="A86" s="1" t="s">
        <v>31</v>
      </c>
      <c r="B86" s="8">
        <v>46044</v>
      </c>
      <c r="C86" s="9">
        <v>0.54166666666666663</v>
      </c>
      <c r="D86" s="9">
        <v>0.67361111111111116</v>
      </c>
      <c r="E86" s="10">
        <f t="shared" ref="E86" si="37">D86-C86</f>
        <v>0.13194444444444453</v>
      </c>
      <c r="F86" s="10">
        <v>1.0416666666666666E-2</v>
      </c>
      <c r="G86" s="1" t="s">
        <v>157</v>
      </c>
      <c r="H86" s="1" t="s">
        <v>158</v>
      </c>
      <c r="I86" s="11" t="s">
        <v>53</v>
      </c>
      <c r="J86" s="11">
        <v>3</v>
      </c>
      <c r="K86" s="3" t="s">
        <v>70</v>
      </c>
      <c r="L86" s="3" t="s">
        <v>159</v>
      </c>
      <c r="M86" s="3" t="s">
        <v>160</v>
      </c>
      <c r="N86" s="25">
        <v>3</v>
      </c>
      <c r="O86" s="22" t="s">
        <v>30</v>
      </c>
    </row>
    <row r="87" spans="1:15" ht="45" hidden="1">
      <c r="A87" s="1" t="s">
        <v>31</v>
      </c>
      <c r="B87" s="8">
        <v>46044</v>
      </c>
      <c r="C87" s="9">
        <v>0.65625</v>
      </c>
      <c r="D87" s="9">
        <v>0.71875</v>
      </c>
      <c r="E87" s="10">
        <f t="shared" si="36"/>
        <v>6.25E-2</v>
      </c>
      <c r="F87" s="10">
        <v>0</v>
      </c>
      <c r="G87" s="1" t="s">
        <v>161</v>
      </c>
      <c r="H87" s="1" t="s">
        <v>162</v>
      </c>
      <c r="I87" s="11" t="s">
        <v>84</v>
      </c>
      <c r="J87" s="11"/>
      <c r="K87" s="3"/>
      <c r="L87" s="3" t="s">
        <v>34</v>
      </c>
      <c r="M87" s="3" t="s">
        <v>87</v>
      </c>
      <c r="N87" s="25">
        <v>1</v>
      </c>
      <c r="O87" s="22" t="s">
        <v>39</v>
      </c>
    </row>
    <row r="88" spans="1:15" ht="30" hidden="1">
      <c r="A88" s="1" t="s">
        <v>100</v>
      </c>
      <c r="B88" s="8">
        <v>46045</v>
      </c>
      <c r="C88" s="9">
        <v>0.375</v>
      </c>
      <c r="D88" s="9">
        <v>0.4375</v>
      </c>
      <c r="E88" s="10">
        <f t="shared" ref="E88:E93" si="38">D88-C88</f>
        <v>6.25E-2</v>
      </c>
      <c r="F88" s="10">
        <v>0</v>
      </c>
      <c r="G88" s="1" t="s">
        <v>163</v>
      </c>
      <c r="H88" s="1" t="s">
        <v>164</v>
      </c>
      <c r="I88" s="11" t="s">
        <v>18</v>
      </c>
      <c r="J88" s="11">
        <v>1</v>
      </c>
      <c r="K88" s="3" t="s">
        <v>43</v>
      </c>
      <c r="L88" s="3" t="s">
        <v>34</v>
      </c>
      <c r="M88" s="3" t="s">
        <v>125</v>
      </c>
      <c r="N88" s="25">
        <v>23</v>
      </c>
      <c r="O88" s="22" t="s">
        <v>22</v>
      </c>
    </row>
    <row r="89" spans="1:15" ht="30" hidden="1">
      <c r="A89" s="1" t="s">
        <v>100</v>
      </c>
      <c r="B89" s="8">
        <v>46045</v>
      </c>
      <c r="C89" s="9">
        <v>0.375</v>
      </c>
      <c r="D89" s="9">
        <v>0.4375</v>
      </c>
      <c r="E89" s="10">
        <f t="shared" si="38"/>
        <v>6.25E-2</v>
      </c>
      <c r="F89" s="10">
        <v>0</v>
      </c>
      <c r="G89" s="1" t="s">
        <v>163</v>
      </c>
      <c r="H89" s="1" t="s">
        <v>164</v>
      </c>
      <c r="I89" s="11" t="s">
        <v>18</v>
      </c>
      <c r="J89" s="11">
        <v>1</v>
      </c>
      <c r="K89" s="3" t="s">
        <v>45</v>
      </c>
      <c r="L89" s="3" t="s">
        <v>34</v>
      </c>
      <c r="M89" s="3" t="s">
        <v>125</v>
      </c>
      <c r="N89" s="25">
        <v>18</v>
      </c>
      <c r="O89" s="22" t="s">
        <v>24</v>
      </c>
    </row>
    <row r="90" spans="1:15" ht="30" hidden="1">
      <c r="A90" s="1" t="s">
        <v>100</v>
      </c>
      <c r="B90" s="8">
        <v>46045</v>
      </c>
      <c r="C90" s="9">
        <v>0.375</v>
      </c>
      <c r="D90" s="9">
        <v>0.4375</v>
      </c>
      <c r="E90" s="10">
        <f t="shared" ref="E90" si="39">D90-C90</f>
        <v>6.25E-2</v>
      </c>
      <c r="F90" s="10">
        <v>0</v>
      </c>
      <c r="G90" s="1" t="s">
        <v>163</v>
      </c>
      <c r="H90" s="1" t="s">
        <v>164</v>
      </c>
      <c r="I90" s="11" t="s">
        <v>18</v>
      </c>
      <c r="J90" s="11">
        <v>1</v>
      </c>
      <c r="K90" s="3" t="s">
        <v>47</v>
      </c>
      <c r="L90" s="3" t="s">
        <v>34</v>
      </c>
      <c r="M90" s="3" t="s">
        <v>125</v>
      </c>
      <c r="N90" s="25">
        <v>19</v>
      </c>
      <c r="O90" s="22" t="s">
        <v>65</v>
      </c>
    </row>
    <row r="91" spans="1:15" ht="30" hidden="1">
      <c r="A91" s="1" t="s">
        <v>100</v>
      </c>
      <c r="B91" s="8">
        <v>46045</v>
      </c>
      <c r="C91" s="9">
        <v>0.375</v>
      </c>
      <c r="D91" s="9">
        <v>0.4375</v>
      </c>
      <c r="E91" s="10">
        <f t="shared" si="38"/>
        <v>6.25E-2</v>
      </c>
      <c r="F91" s="10">
        <v>0</v>
      </c>
      <c r="G91" s="1" t="s">
        <v>163</v>
      </c>
      <c r="H91" s="1" t="s">
        <v>165</v>
      </c>
      <c r="I91" s="11" t="s">
        <v>18</v>
      </c>
      <c r="J91" s="11">
        <v>1</v>
      </c>
      <c r="K91" s="3" t="s">
        <v>49</v>
      </c>
      <c r="L91" s="3" t="s">
        <v>34</v>
      </c>
      <c r="M91" s="3" t="s">
        <v>125</v>
      </c>
      <c r="N91" s="25">
        <v>18</v>
      </c>
      <c r="O91" s="22" t="s">
        <v>46</v>
      </c>
    </row>
    <row r="92" spans="1:15" ht="30" hidden="1">
      <c r="A92" s="1" t="s">
        <v>100</v>
      </c>
      <c r="B92" s="8">
        <v>46045</v>
      </c>
      <c r="C92" s="9">
        <v>0.375</v>
      </c>
      <c r="D92" s="9">
        <v>0.4375</v>
      </c>
      <c r="E92" s="10">
        <f t="shared" ref="E92" si="40">D92-C92</f>
        <v>6.25E-2</v>
      </c>
      <c r="F92" s="10">
        <v>0</v>
      </c>
      <c r="G92" s="1" t="s">
        <v>163</v>
      </c>
      <c r="H92" s="1" t="s">
        <v>165</v>
      </c>
      <c r="I92" s="11" t="s">
        <v>18</v>
      </c>
      <c r="J92" s="11">
        <v>1</v>
      </c>
      <c r="K92" s="3" t="s">
        <v>51</v>
      </c>
      <c r="L92" s="3" t="s">
        <v>34</v>
      </c>
      <c r="M92" s="3" t="s">
        <v>125</v>
      </c>
      <c r="N92" s="25">
        <v>19</v>
      </c>
      <c r="O92" s="22" t="s">
        <v>48</v>
      </c>
    </row>
    <row r="93" spans="1:15" ht="30" hidden="1">
      <c r="A93" s="1" t="s">
        <v>100</v>
      </c>
      <c r="B93" s="8">
        <v>46045</v>
      </c>
      <c r="C93" s="9">
        <v>0.375</v>
      </c>
      <c r="D93" s="9">
        <v>0.4375</v>
      </c>
      <c r="E93" s="10">
        <f t="shared" si="38"/>
        <v>6.25E-2</v>
      </c>
      <c r="F93" s="10">
        <v>0</v>
      </c>
      <c r="G93" s="1" t="s">
        <v>163</v>
      </c>
      <c r="H93" s="1" t="s">
        <v>166</v>
      </c>
      <c r="I93" s="11" t="s">
        <v>53</v>
      </c>
      <c r="J93" s="11">
        <v>1</v>
      </c>
      <c r="K93" s="12" t="s">
        <v>167</v>
      </c>
      <c r="L93" s="3" t="s">
        <v>34</v>
      </c>
      <c r="M93" s="3" t="s">
        <v>125</v>
      </c>
      <c r="N93" s="25">
        <v>20</v>
      </c>
      <c r="O93" s="22" t="s">
        <v>27</v>
      </c>
    </row>
    <row r="94" spans="1:15" ht="30" hidden="1">
      <c r="A94" s="1" t="s">
        <v>100</v>
      </c>
      <c r="B94" s="8">
        <v>46045</v>
      </c>
      <c r="C94" s="9">
        <v>0.375</v>
      </c>
      <c r="D94" s="9">
        <v>0.4375</v>
      </c>
      <c r="E94" s="10">
        <f t="shared" ref="E94" si="41">D94-C94</f>
        <v>6.25E-2</v>
      </c>
      <c r="F94" s="10">
        <v>0</v>
      </c>
      <c r="G94" s="1" t="s">
        <v>163</v>
      </c>
      <c r="H94" s="1" t="s">
        <v>166</v>
      </c>
      <c r="I94" s="11" t="s">
        <v>53</v>
      </c>
      <c r="J94" s="11">
        <v>1</v>
      </c>
      <c r="K94" s="12" t="s">
        <v>168</v>
      </c>
      <c r="L94" s="3" t="s">
        <v>34</v>
      </c>
      <c r="M94" s="3" t="s">
        <v>125</v>
      </c>
      <c r="N94" s="25">
        <v>17</v>
      </c>
      <c r="O94" s="22" t="s">
        <v>56</v>
      </c>
    </row>
    <row r="95" spans="1:15" ht="30" hidden="1">
      <c r="A95" s="1" t="s">
        <v>100</v>
      </c>
      <c r="B95" s="8">
        <v>46045</v>
      </c>
      <c r="C95" s="9">
        <v>0.375</v>
      </c>
      <c r="D95" s="9">
        <v>0.4548611111111111</v>
      </c>
      <c r="E95" s="10">
        <f t="shared" ref="E95" si="42">D95-C95</f>
        <v>7.9861111111111105E-2</v>
      </c>
      <c r="F95" s="10">
        <v>0</v>
      </c>
      <c r="G95" s="1" t="s">
        <v>163</v>
      </c>
      <c r="H95" s="1" t="s">
        <v>164</v>
      </c>
      <c r="I95" s="11" t="s">
        <v>66</v>
      </c>
      <c r="J95" s="11">
        <v>1</v>
      </c>
      <c r="K95" s="3" t="s">
        <v>67</v>
      </c>
      <c r="L95" s="3" t="s">
        <v>34</v>
      </c>
      <c r="M95" s="3" t="s">
        <v>125</v>
      </c>
      <c r="N95" s="25">
        <v>5</v>
      </c>
      <c r="O95" s="22" t="s">
        <v>30</v>
      </c>
    </row>
    <row r="96" spans="1:15" hidden="1">
      <c r="A96" s="1" t="s">
        <v>109</v>
      </c>
      <c r="B96" s="8">
        <v>46046</v>
      </c>
      <c r="C96" s="9">
        <v>0.375</v>
      </c>
      <c r="D96" s="9">
        <v>0.4375</v>
      </c>
      <c r="E96" s="10">
        <f t="shared" ref="E96:E100" si="43">D96-C96</f>
        <v>6.25E-2</v>
      </c>
      <c r="F96" s="10">
        <v>0</v>
      </c>
      <c r="G96" s="1" t="s">
        <v>169</v>
      </c>
      <c r="H96" s="1" t="s">
        <v>170</v>
      </c>
      <c r="I96" s="11" t="s">
        <v>18</v>
      </c>
      <c r="J96" s="11">
        <v>3</v>
      </c>
      <c r="K96" s="3" t="s">
        <v>171</v>
      </c>
      <c r="L96" s="3" t="s">
        <v>34</v>
      </c>
      <c r="M96" s="3" t="s">
        <v>125</v>
      </c>
      <c r="N96" s="25">
        <v>19</v>
      </c>
      <c r="O96" s="22" t="s">
        <v>22</v>
      </c>
    </row>
    <row r="97" spans="1:15" hidden="1">
      <c r="A97" s="1" t="s">
        <v>109</v>
      </c>
      <c r="B97" s="8">
        <v>46046</v>
      </c>
      <c r="C97" s="9">
        <v>0.375</v>
      </c>
      <c r="D97" s="9">
        <v>0.4375</v>
      </c>
      <c r="E97" s="10">
        <f t="shared" ref="E97" si="44">D97-C97</f>
        <v>6.25E-2</v>
      </c>
      <c r="F97" s="10">
        <v>0</v>
      </c>
      <c r="G97" s="1" t="s">
        <v>169</v>
      </c>
      <c r="H97" s="1" t="s">
        <v>170</v>
      </c>
      <c r="I97" s="11" t="s">
        <v>18</v>
      </c>
      <c r="J97" s="11">
        <v>3</v>
      </c>
      <c r="K97" s="3" t="s">
        <v>172</v>
      </c>
      <c r="L97" s="3" t="s">
        <v>34</v>
      </c>
      <c r="M97" s="3" t="s">
        <v>125</v>
      </c>
      <c r="N97" s="25">
        <v>17</v>
      </c>
      <c r="O97" s="22" t="s">
        <v>24</v>
      </c>
    </row>
    <row r="98" spans="1:15" hidden="1">
      <c r="A98" s="1" t="s">
        <v>109</v>
      </c>
      <c r="B98" s="8">
        <v>46046</v>
      </c>
      <c r="C98" s="9">
        <v>0.375</v>
      </c>
      <c r="D98" s="9">
        <v>0.4375</v>
      </c>
      <c r="E98" s="10">
        <f t="shared" si="43"/>
        <v>6.25E-2</v>
      </c>
      <c r="F98" s="10">
        <v>0</v>
      </c>
      <c r="G98" s="1" t="s">
        <v>173</v>
      </c>
      <c r="H98" s="1" t="s">
        <v>170</v>
      </c>
      <c r="I98" s="11" t="s">
        <v>18</v>
      </c>
      <c r="J98" s="11">
        <v>3</v>
      </c>
      <c r="K98" s="3" t="s">
        <v>80</v>
      </c>
      <c r="L98" s="3" t="s">
        <v>34</v>
      </c>
      <c r="M98" s="3" t="s">
        <v>125</v>
      </c>
      <c r="N98" s="25">
        <v>19</v>
      </c>
      <c r="O98" s="22" t="s">
        <v>46</v>
      </c>
    </row>
    <row r="99" spans="1:15" hidden="1">
      <c r="A99" s="1" t="s">
        <v>109</v>
      </c>
      <c r="B99" s="8">
        <v>46046</v>
      </c>
      <c r="C99" s="9">
        <v>0.375</v>
      </c>
      <c r="D99" s="9">
        <v>0.4375</v>
      </c>
      <c r="E99" s="10">
        <f t="shared" ref="E99" si="45">D99-C99</f>
        <v>6.25E-2</v>
      </c>
      <c r="F99" s="10">
        <v>0</v>
      </c>
      <c r="G99" s="1" t="s">
        <v>173</v>
      </c>
      <c r="H99" s="1" t="s">
        <v>170</v>
      </c>
      <c r="I99" s="11" t="s">
        <v>18</v>
      </c>
      <c r="J99" s="11">
        <v>3</v>
      </c>
      <c r="K99" s="3" t="s">
        <v>81</v>
      </c>
      <c r="L99" s="3" t="s">
        <v>34</v>
      </c>
      <c r="M99" s="3" t="s">
        <v>125</v>
      </c>
      <c r="N99" s="25">
        <v>19</v>
      </c>
      <c r="O99" s="22" t="s">
        <v>27</v>
      </c>
    </row>
    <row r="100" spans="1:15" hidden="1">
      <c r="A100" s="1" t="s">
        <v>40</v>
      </c>
      <c r="B100" s="8">
        <v>46048</v>
      </c>
      <c r="C100" s="9">
        <v>0.5625</v>
      </c>
      <c r="D100" s="9">
        <v>0.625</v>
      </c>
      <c r="E100" s="10">
        <f t="shared" si="43"/>
        <v>6.25E-2</v>
      </c>
      <c r="F100" s="10">
        <v>0</v>
      </c>
      <c r="G100" s="1" t="s">
        <v>174</v>
      </c>
      <c r="H100" s="1" t="s">
        <v>123</v>
      </c>
      <c r="I100" s="11" t="s">
        <v>53</v>
      </c>
      <c r="J100" s="11">
        <v>3</v>
      </c>
      <c r="K100" s="3" t="s">
        <v>175</v>
      </c>
      <c r="L100" s="3" t="s">
        <v>34</v>
      </c>
      <c r="M100" s="3" t="s">
        <v>125</v>
      </c>
      <c r="N100" s="25">
        <v>19</v>
      </c>
      <c r="O100" s="22" t="s">
        <v>24</v>
      </c>
    </row>
    <row r="101" spans="1:15" hidden="1">
      <c r="A101" s="1" t="s">
        <v>40</v>
      </c>
      <c r="B101" s="8">
        <v>46048</v>
      </c>
      <c r="C101" s="9">
        <v>0.5625</v>
      </c>
      <c r="D101" s="9">
        <v>0.64236111111111116</v>
      </c>
      <c r="E101" s="10">
        <f t="shared" ref="E101" si="46">D101-C101</f>
        <v>7.986111111111116E-2</v>
      </c>
      <c r="F101" s="10">
        <v>0</v>
      </c>
      <c r="G101" s="1" t="s">
        <v>174</v>
      </c>
      <c r="H101" s="1" t="s">
        <v>123</v>
      </c>
      <c r="I101" s="11" t="s">
        <v>53</v>
      </c>
      <c r="J101" s="11">
        <v>3</v>
      </c>
      <c r="K101" s="3" t="s">
        <v>176</v>
      </c>
      <c r="L101" s="3" t="s">
        <v>34</v>
      </c>
      <c r="M101" s="3" t="s">
        <v>125</v>
      </c>
      <c r="N101" s="25">
        <v>4</v>
      </c>
      <c r="O101" s="22" t="s">
        <v>30</v>
      </c>
    </row>
    <row r="102" spans="1:15" s="16" customFormat="1" ht="30" hidden="1">
      <c r="A102" s="4" t="s">
        <v>58</v>
      </c>
      <c r="B102" s="13">
        <v>46049</v>
      </c>
      <c r="C102" s="14">
        <v>0.39583333333333331</v>
      </c>
      <c r="D102" s="14">
        <v>0.47916666666666669</v>
      </c>
      <c r="E102" s="10">
        <f>D102-C102</f>
        <v>8.333333333333337E-2</v>
      </c>
      <c r="F102" s="15">
        <v>0</v>
      </c>
      <c r="G102" s="4" t="s">
        <v>177</v>
      </c>
      <c r="H102" s="4" t="s">
        <v>178</v>
      </c>
      <c r="I102" s="11" t="s">
        <v>18</v>
      </c>
      <c r="J102" s="19"/>
      <c r="K102" s="20"/>
      <c r="L102" s="3" t="s">
        <v>34</v>
      </c>
      <c r="M102" s="6" t="s">
        <v>21</v>
      </c>
      <c r="N102" s="26">
        <v>6</v>
      </c>
      <c r="O102" s="22" t="s">
        <v>22</v>
      </c>
    </row>
    <row r="103" spans="1:15" ht="30" hidden="1">
      <c r="A103" s="1" t="s">
        <v>58</v>
      </c>
      <c r="B103" s="8">
        <v>46049</v>
      </c>
      <c r="C103" s="14">
        <v>0.39583333333333331</v>
      </c>
      <c r="D103" s="14">
        <v>0.47916666666666669</v>
      </c>
      <c r="E103" s="10">
        <f>D103-C103</f>
        <v>8.333333333333337E-2</v>
      </c>
      <c r="F103" s="15">
        <v>0</v>
      </c>
      <c r="G103" s="1" t="s">
        <v>179</v>
      </c>
      <c r="H103" s="1" t="s">
        <v>150</v>
      </c>
      <c r="I103" s="11" t="s">
        <v>53</v>
      </c>
      <c r="J103" s="11"/>
      <c r="K103" s="3"/>
      <c r="L103" s="3" t="s">
        <v>34</v>
      </c>
      <c r="M103" s="6" t="s">
        <v>21</v>
      </c>
      <c r="N103" s="26">
        <v>2</v>
      </c>
      <c r="O103" s="22" t="s">
        <v>22</v>
      </c>
    </row>
    <row r="104" spans="1:15" s="16" customFormat="1" ht="30" hidden="1">
      <c r="A104" s="1" t="s">
        <v>58</v>
      </c>
      <c r="B104" s="8">
        <v>46049</v>
      </c>
      <c r="C104" s="9">
        <v>0.5625</v>
      </c>
      <c r="D104" s="9">
        <v>0.60416666666666663</v>
      </c>
      <c r="E104" s="10">
        <v>4.1666666666666664E-2</v>
      </c>
      <c r="F104" s="10">
        <v>0</v>
      </c>
      <c r="G104" s="1" t="s">
        <v>180</v>
      </c>
      <c r="H104" s="1" t="s">
        <v>181</v>
      </c>
      <c r="I104" s="11" t="s">
        <v>182</v>
      </c>
      <c r="J104" s="11">
        <v>1</v>
      </c>
      <c r="K104" s="3" t="s">
        <v>115</v>
      </c>
      <c r="L104" s="3" t="s">
        <v>183</v>
      </c>
      <c r="M104" s="6" t="s">
        <v>21</v>
      </c>
      <c r="N104" s="25">
        <v>21</v>
      </c>
      <c r="O104" s="22" t="s">
        <v>22</v>
      </c>
    </row>
    <row r="105" spans="1:15" s="16" customFormat="1" ht="30" hidden="1">
      <c r="A105" s="1" t="s">
        <v>58</v>
      </c>
      <c r="B105" s="8">
        <v>46049</v>
      </c>
      <c r="C105" s="9">
        <v>0.5625</v>
      </c>
      <c r="D105" s="9">
        <v>0.60416666666666663</v>
      </c>
      <c r="E105" s="10">
        <v>4.1666666666666664E-2</v>
      </c>
      <c r="F105" s="10">
        <v>0</v>
      </c>
      <c r="G105" s="1" t="s">
        <v>180</v>
      </c>
      <c r="H105" s="1" t="s">
        <v>181</v>
      </c>
      <c r="I105" s="11" t="s">
        <v>182</v>
      </c>
      <c r="J105" s="11">
        <v>1</v>
      </c>
      <c r="K105" s="3" t="s">
        <v>116</v>
      </c>
      <c r="L105" s="3" t="s">
        <v>183</v>
      </c>
      <c r="M105" s="6" t="s">
        <v>21</v>
      </c>
      <c r="N105" s="25">
        <v>23</v>
      </c>
      <c r="O105" s="22" t="s">
        <v>24</v>
      </c>
    </row>
    <row r="106" spans="1:15" s="16" customFormat="1" ht="30" hidden="1">
      <c r="A106" s="1" t="s">
        <v>58</v>
      </c>
      <c r="B106" s="8">
        <v>46049</v>
      </c>
      <c r="C106" s="9">
        <v>0.5625</v>
      </c>
      <c r="D106" s="9">
        <v>0.60416666666666663</v>
      </c>
      <c r="E106" s="10">
        <v>4.1666666666666664E-2</v>
      </c>
      <c r="F106" s="10">
        <v>0</v>
      </c>
      <c r="G106" s="1" t="s">
        <v>180</v>
      </c>
      <c r="H106" s="1" t="s">
        <v>181</v>
      </c>
      <c r="I106" s="11" t="s">
        <v>184</v>
      </c>
      <c r="J106" s="11">
        <v>1</v>
      </c>
      <c r="K106" s="3" t="s">
        <v>185</v>
      </c>
      <c r="L106" s="3" t="s">
        <v>183</v>
      </c>
      <c r="M106" s="6" t="s">
        <v>21</v>
      </c>
      <c r="N106" s="25">
        <v>23</v>
      </c>
      <c r="O106" s="22" t="s">
        <v>65</v>
      </c>
    </row>
    <row r="107" spans="1:15" s="16" customFormat="1" ht="30" hidden="1">
      <c r="A107" s="1" t="s">
        <v>58</v>
      </c>
      <c r="B107" s="8">
        <v>46049</v>
      </c>
      <c r="C107" s="9">
        <v>0.5625</v>
      </c>
      <c r="D107" s="9">
        <v>0.60416666666666663</v>
      </c>
      <c r="E107" s="10">
        <v>4.1666666666666664E-2</v>
      </c>
      <c r="F107" s="10">
        <v>0</v>
      </c>
      <c r="G107" s="1" t="s">
        <v>180</v>
      </c>
      <c r="H107" s="1" t="s">
        <v>181</v>
      </c>
      <c r="I107" s="11" t="s">
        <v>184</v>
      </c>
      <c r="J107" s="11">
        <v>1</v>
      </c>
      <c r="K107" s="3" t="s">
        <v>186</v>
      </c>
      <c r="L107" s="3" t="s">
        <v>183</v>
      </c>
      <c r="M107" s="6" t="s">
        <v>21</v>
      </c>
      <c r="N107" s="25">
        <v>25</v>
      </c>
      <c r="O107" s="22" t="s">
        <v>46</v>
      </c>
    </row>
    <row r="108" spans="1:15" s="16" customFormat="1" ht="30" hidden="1">
      <c r="A108" s="1" t="s">
        <v>58</v>
      </c>
      <c r="B108" s="8">
        <v>46049</v>
      </c>
      <c r="C108" s="9">
        <v>0.5625</v>
      </c>
      <c r="D108" s="9">
        <v>0.60416666666666663</v>
      </c>
      <c r="E108" s="10">
        <v>4.1666666666666664E-2</v>
      </c>
      <c r="F108" s="10">
        <v>0</v>
      </c>
      <c r="G108" s="1" t="s">
        <v>180</v>
      </c>
      <c r="H108" s="1" t="s">
        <v>181</v>
      </c>
      <c r="I108" s="11" t="s">
        <v>184</v>
      </c>
      <c r="J108" s="11">
        <v>1</v>
      </c>
      <c r="K108" s="3" t="s">
        <v>187</v>
      </c>
      <c r="L108" s="3" t="s">
        <v>183</v>
      </c>
      <c r="M108" s="6" t="s">
        <v>21</v>
      </c>
      <c r="N108" s="25">
        <v>22</v>
      </c>
      <c r="O108" s="22" t="s">
        <v>48</v>
      </c>
    </row>
    <row r="109" spans="1:15" s="16" customFormat="1" ht="30" hidden="1">
      <c r="A109" s="1" t="s">
        <v>58</v>
      </c>
      <c r="B109" s="8">
        <v>46049</v>
      </c>
      <c r="C109" s="9">
        <v>0.5625</v>
      </c>
      <c r="D109" s="9">
        <v>0.60416666666666663</v>
      </c>
      <c r="E109" s="10">
        <v>4.1666666666666664E-2</v>
      </c>
      <c r="F109" s="10">
        <v>0</v>
      </c>
      <c r="G109" s="1" t="s">
        <v>180</v>
      </c>
      <c r="H109" s="1" t="s">
        <v>181</v>
      </c>
      <c r="I109" s="11" t="s">
        <v>184</v>
      </c>
      <c r="J109" s="11">
        <v>1</v>
      </c>
      <c r="K109" s="3" t="s">
        <v>188</v>
      </c>
      <c r="L109" s="3" t="s">
        <v>183</v>
      </c>
      <c r="M109" s="6" t="s">
        <v>21</v>
      </c>
      <c r="N109" s="25">
        <v>30</v>
      </c>
      <c r="O109" s="22" t="s">
        <v>27</v>
      </c>
    </row>
    <row r="110" spans="1:15" s="16" customFormat="1" ht="30" hidden="1">
      <c r="A110" s="1" t="s">
        <v>15</v>
      </c>
      <c r="B110" s="13">
        <v>46050</v>
      </c>
      <c r="C110" s="14">
        <v>0.375</v>
      </c>
      <c r="D110" s="14">
        <v>0.45833333333333331</v>
      </c>
      <c r="E110" s="10">
        <f>D110-C110</f>
        <v>8.3333333333333315E-2</v>
      </c>
      <c r="F110" s="15"/>
      <c r="G110" s="4" t="s">
        <v>189</v>
      </c>
      <c r="H110" s="1" t="s">
        <v>190</v>
      </c>
      <c r="I110" s="11" t="s">
        <v>184</v>
      </c>
      <c r="J110" s="19"/>
      <c r="K110" s="20"/>
      <c r="L110" s="20" t="s">
        <v>128</v>
      </c>
      <c r="M110" s="6" t="s">
        <v>191</v>
      </c>
      <c r="N110" s="26">
        <v>9</v>
      </c>
      <c r="O110" s="22" t="s">
        <v>22</v>
      </c>
    </row>
    <row r="111" spans="1:15" ht="30" hidden="1">
      <c r="A111" s="1" t="s">
        <v>15</v>
      </c>
      <c r="B111" s="8">
        <v>46050</v>
      </c>
      <c r="C111" s="9">
        <v>0.375</v>
      </c>
      <c r="D111" s="9">
        <v>0.45833333333333331</v>
      </c>
      <c r="E111" s="10">
        <f>D111-C111</f>
        <v>8.3333333333333315E-2</v>
      </c>
      <c r="F111" s="10"/>
      <c r="G111" s="1" t="s">
        <v>192</v>
      </c>
      <c r="H111" s="1" t="s">
        <v>190</v>
      </c>
      <c r="I111" s="11" t="s">
        <v>182</v>
      </c>
      <c r="J111" s="11"/>
      <c r="K111" s="3"/>
      <c r="L111" s="3" t="s">
        <v>128</v>
      </c>
      <c r="M111" s="6" t="s">
        <v>191</v>
      </c>
      <c r="N111" s="25">
        <v>1</v>
      </c>
      <c r="O111" s="22" t="s">
        <v>22</v>
      </c>
    </row>
    <row r="112" spans="1:15" ht="45" hidden="1">
      <c r="A112" s="4" t="s">
        <v>15</v>
      </c>
      <c r="B112" s="13">
        <v>46050</v>
      </c>
      <c r="C112" s="14">
        <v>0.54166666666666663</v>
      </c>
      <c r="D112" s="14">
        <v>0.60416666666666663</v>
      </c>
      <c r="E112" s="10">
        <f t="shared" ref="E112" si="47">D112-C112</f>
        <v>6.25E-2</v>
      </c>
      <c r="F112" s="10">
        <v>0</v>
      </c>
      <c r="G112" s="4" t="s">
        <v>193</v>
      </c>
      <c r="H112" s="4" t="s">
        <v>194</v>
      </c>
      <c r="I112" s="11" t="s">
        <v>127</v>
      </c>
      <c r="J112" s="19"/>
      <c r="K112" s="20"/>
      <c r="L112" s="20" t="s">
        <v>128</v>
      </c>
      <c r="M112" s="6" t="s">
        <v>195</v>
      </c>
      <c r="N112" s="26">
        <v>2</v>
      </c>
      <c r="O112" s="22" t="s">
        <v>24</v>
      </c>
    </row>
    <row r="113" spans="1:15" ht="30" hidden="1">
      <c r="A113" s="1" t="s">
        <v>15</v>
      </c>
      <c r="B113" s="8">
        <v>46050</v>
      </c>
      <c r="C113" s="9">
        <v>0.54166666666666663</v>
      </c>
      <c r="D113" s="9">
        <v>0.60416666666666663</v>
      </c>
      <c r="E113" s="10">
        <v>6.25E-2</v>
      </c>
      <c r="F113" s="10">
        <v>0</v>
      </c>
      <c r="G113" s="1" t="s">
        <v>196</v>
      </c>
      <c r="H113" s="1" t="s">
        <v>197</v>
      </c>
      <c r="I113" s="11" t="s">
        <v>182</v>
      </c>
      <c r="J113" s="11"/>
      <c r="K113" s="3"/>
      <c r="L113" s="3" t="s">
        <v>128</v>
      </c>
      <c r="M113" s="3" t="s">
        <v>125</v>
      </c>
      <c r="N113" s="25">
        <v>1</v>
      </c>
      <c r="O113" s="22" t="s">
        <v>24</v>
      </c>
    </row>
    <row r="114" spans="1:15" hidden="1">
      <c r="A114" s="1" t="s">
        <v>15</v>
      </c>
      <c r="B114" s="8">
        <v>46078</v>
      </c>
      <c r="C114" s="9">
        <v>0.35416666666666669</v>
      </c>
      <c r="D114" s="9">
        <v>0.70833333333333337</v>
      </c>
      <c r="E114" s="10">
        <f t="shared" ref="E114:E119" si="48">D114-C114</f>
        <v>0.35416666666666669</v>
      </c>
      <c r="F114" s="10"/>
      <c r="G114" s="1" t="s">
        <v>198</v>
      </c>
      <c r="H114" s="1"/>
      <c r="I114" s="11" t="s">
        <v>199</v>
      </c>
      <c r="J114" s="11"/>
      <c r="K114" s="3"/>
      <c r="L114" s="3"/>
      <c r="M114" s="3" t="s">
        <v>200</v>
      </c>
      <c r="N114" s="25"/>
      <c r="O114" s="22" t="s">
        <v>201</v>
      </c>
    </row>
    <row r="115" spans="1:15" hidden="1">
      <c r="A115" s="1" t="s">
        <v>15</v>
      </c>
      <c r="B115" s="8">
        <v>46078</v>
      </c>
      <c r="C115" s="9">
        <v>0.35416666666666669</v>
      </c>
      <c r="D115" s="9">
        <v>0.70833333333333337</v>
      </c>
      <c r="E115" s="10">
        <f t="shared" si="48"/>
        <v>0.35416666666666669</v>
      </c>
      <c r="F115" s="10"/>
      <c r="G115" s="1" t="s">
        <v>198</v>
      </c>
      <c r="H115" s="1"/>
      <c r="I115" s="11" t="s">
        <v>199</v>
      </c>
      <c r="J115" s="11"/>
      <c r="K115" s="3"/>
      <c r="L115" s="3"/>
      <c r="M115" s="3" t="s">
        <v>200</v>
      </c>
      <c r="N115" s="25"/>
      <c r="O115" s="22" t="s">
        <v>201</v>
      </c>
    </row>
    <row r="116" spans="1:15" hidden="1">
      <c r="A116" s="1" t="s">
        <v>15</v>
      </c>
      <c r="B116" s="8">
        <v>46078</v>
      </c>
      <c r="C116" s="9">
        <v>0.35416666666666669</v>
      </c>
      <c r="D116" s="9">
        <v>0.70833333333333337</v>
      </c>
      <c r="E116" s="10">
        <f t="shared" si="48"/>
        <v>0.35416666666666669</v>
      </c>
      <c r="F116" s="10"/>
      <c r="G116" s="1" t="s">
        <v>198</v>
      </c>
      <c r="H116" s="1"/>
      <c r="I116" s="11" t="s">
        <v>199</v>
      </c>
      <c r="J116" s="11"/>
      <c r="K116" s="3"/>
      <c r="L116" s="3"/>
      <c r="M116" s="3" t="s">
        <v>200</v>
      </c>
      <c r="N116" s="25"/>
      <c r="O116" s="22" t="s">
        <v>201</v>
      </c>
    </row>
    <row r="117" spans="1:15" ht="30" hidden="1">
      <c r="A117" s="1" t="s">
        <v>31</v>
      </c>
      <c r="B117" s="8">
        <v>46079</v>
      </c>
      <c r="C117" s="9">
        <v>0.35416666666666669</v>
      </c>
      <c r="D117" s="9">
        <v>0.70833333333333337</v>
      </c>
      <c r="E117" s="10">
        <f t="shared" si="48"/>
        <v>0.35416666666666669</v>
      </c>
      <c r="F117" s="10"/>
      <c r="G117" s="1" t="s">
        <v>202</v>
      </c>
      <c r="H117" s="1"/>
      <c r="I117" s="11" t="s">
        <v>199</v>
      </c>
      <c r="J117" s="11"/>
      <c r="K117" s="3"/>
      <c r="L117" s="3"/>
      <c r="M117" s="3" t="s">
        <v>200</v>
      </c>
      <c r="N117" s="25"/>
      <c r="O117" s="22" t="s">
        <v>201</v>
      </c>
    </row>
    <row r="118" spans="1:15" ht="30" hidden="1">
      <c r="A118" s="1" t="s">
        <v>31</v>
      </c>
      <c r="B118" s="8">
        <v>46079</v>
      </c>
      <c r="C118" s="9">
        <v>0.35416666666666669</v>
      </c>
      <c r="D118" s="9">
        <v>0.70833333333333337</v>
      </c>
      <c r="E118" s="10">
        <f t="shared" si="48"/>
        <v>0.35416666666666669</v>
      </c>
      <c r="F118" s="10"/>
      <c r="G118" s="1" t="s">
        <v>202</v>
      </c>
      <c r="H118" s="1"/>
      <c r="I118" s="11" t="s">
        <v>199</v>
      </c>
      <c r="J118" s="11"/>
      <c r="K118" s="3"/>
      <c r="L118" s="3"/>
      <c r="M118" s="3" t="s">
        <v>200</v>
      </c>
      <c r="N118" s="25"/>
      <c r="O118" s="22" t="s">
        <v>201</v>
      </c>
    </row>
    <row r="119" spans="1:15" ht="30" hidden="1">
      <c r="A119" s="1" t="s">
        <v>31</v>
      </c>
      <c r="B119" s="8">
        <v>46079</v>
      </c>
      <c r="C119" s="9">
        <v>0.35416666666666669</v>
      </c>
      <c r="D119" s="9">
        <v>0.70833333333333337</v>
      </c>
      <c r="E119" s="10">
        <f t="shared" si="48"/>
        <v>0.35416666666666669</v>
      </c>
      <c r="F119" s="10"/>
      <c r="G119" s="1" t="s">
        <v>202</v>
      </c>
      <c r="H119" s="1"/>
      <c r="I119" s="11" t="s">
        <v>199</v>
      </c>
      <c r="J119" s="11"/>
      <c r="K119" s="3"/>
      <c r="L119" s="3"/>
      <c r="M119" s="3" t="s">
        <v>200</v>
      </c>
      <c r="N119" s="25"/>
      <c r="O119" s="22" t="s">
        <v>201</v>
      </c>
    </row>
  </sheetData>
  <autoFilter ref="A1:O119" xr:uid="{F04541E2-8F03-4200-A015-DBFDB9A7FB7A}">
    <filterColumn colId="6">
      <filters>
        <filter val="HS_Basel_VS FiM+Audit_D Auditing Principles"/>
        <filter val="Principles of Management"/>
      </filters>
    </filterColumn>
  </autoFilter>
  <sortState xmlns:xlrd2="http://schemas.microsoft.com/office/spreadsheetml/2017/richdata2" ref="A2:O119">
    <sortCondition ref="B2:B119"/>
    <sortCondition ref="C2:C119"/>
    <sortCondition ref="D2:D119"/>
  </sortState>
  <phoneticPr fontId="2" type="noConversion"/>
  <conditionalFormatting sqref="A30:H31 I31 F115:L115 M115:N117 L116:L117 F116:K119 L118:O119 F114:N114 O114:O117 A114:E119 A32:O113 J30:O31 A2:O29">
    <cfRule type="expression" dxfId="59" priority="253">
      <formula>$A2="Sa"</formula>
    </cfRule>
    <cfRule type="expression" dxfId="58" priority="254">
      <formula>$A2="Fr"</formula>
    </cfRule>
    <cfRule type="expression" dxfId="57" priority="255">
      <formula>$A2="Do"</formula>
    </cfRule>
    <cfRule type="expression" dxfId="56" priority="256">
      <formula>$A2="Mi"</formula>
    </cfRule>
    <cfRule type="expression" dxfId="55" priority="257">
      <formula>$A2="Mo"</formula>
    </cfRule>
    <cfRule type="expression" dxfId="54" priority="258">
      <formula>$A2="Di"</formula>
    </cfRule>
  </conditionalFormatting>
  <conditionalFormatting sqref="G2:G4">
    <cfRule type="expression" dxfId="53" priority="494">
      <formula>#REF!="Fr"</formula>
    </cfRule>
    <cfRule type="expression" dxfId="52" priority="495">
      <formula>#REF!="Do"</formula>
    </cfRule>
    <cfRule type="expression" dxfId="51" priority="496">
      <formula>#REF!="Mi"</formula>
    </cfRule>
    <cfRule type="expression" dxfId="50" priority="497">
      <formula>#REF!="Mo"</formula>
    </cfRule>
    <cfRule type="expression" dxfId="49" priority="498">
      <formula>#REF!="Di"</formula>
    </cfRule>
  </conditionalFormatting>
  <conditionalFormatting sqref="G3">
    <cfRule type="expression" dxfId="48" priority="994">
      <formula>$A2="Sa"</formula>
    </cfRule>
    <cfRule type="expression" dxfId="47" priority="995">
      <formula>$A2="Fr"</formula>
    </cfRule>
    <cfRule type="expression" dxfId="46" priority="996">
      <formula>$A2="Do"</formula>
    </cfRule>
    <cfRule type="expression" dxfId="45" priority="997">
      <formula>$A2="Mi"</formula>
    </cfRule>
    <cfRule type="expression" dxfId="44" priority="998">
      <formula>$A2="Mo"</formula>
    </cfRule>
    <cfRule type="expression" dxfId="43" priority="999">
      <formula>$A2="Di"</formula>
    </cfRule>
  </conditionalFormatting>
  <conditionalFormatting sqref="G2:G4">
    <cfRule type="expression" dxfId="42" priority="493">
      <formula>#REF!="Sa"</formula>
    </cfRule>
  </conditionalFormatting>
  <conditionalFormatting sqref="G4 G2">
    <cfRule type="expression" dxfId="41" priority="487">
      <formula>#REF!="Sa"</formula>
    </cfRule>
    <cfRule type="expression" dxfId="40" priority="488">
      <formula>#REF!="Fr"</formula>
    </cfRule>
    <cfRule type="expression" dxfId="39" priority="489">
      <formula>#REF!="Do"</formula>
    </cfRule>
    <cfRule type="expression" dxfId="38" priority="490">
      <formula>#REF!="Mi"</formula>
    </cfRule>
    <cfRule type="expression" dxfId="37" priority="491">
      <formula>#REF!="Mo"</formula>
    </cfRule>
    <cfRule type="expression" dxfId="36" priority="492">
      <formula>#REF!="Di"</formula>
    </cfRule>
  </conditionalFormatting>
  <conditionalFormatting sqref="G103:G109">
    <cfRule type="expression" dxfId="35" priority="1072">
      <formula>#REF!="Sa"</formula>
    </cfRule>
    <cfRule type="expression" dxfId="34" priority="1073">
      <formula>#REF!="Fr"</formula>
    </cfRule>
    <cfRule type="expression" dxfId="33" priority="1074">
      <formula>#REF!="Do"</formula>
    </cfRule>
    <cfRule type="expression" dxfId="32" priority="1075">
      <formula>#REF!="Mi"</formula>
    </cfRule>
    <cfRule type="expression" dxfId="31" priority="1076">
      <formula>#REF!="Mo"</formula>
    </cfRule>
    <cfRule type="expression" dxfId="30" priority="1077">
      <formula>#REF!="Di"</formula>
    </cfRule>
    <cfRule type="expression" dxfId="29" priority="1078">
      <formula>#REF!="Sa"</formula>
    </cfRule>
    <cfRule type="expression" dxfId="28" priority="1079">
      <formula>#REF!="Fr"</formula>
    </cfRule>
    <cfRule type="expression" dxfId="27" priority="1080">
      <formula>#REF!="Do"</formula>
    </cfRule>
    <cfRule type="expression" dxfId="26" priority="1081">
      <formula>#REF!="Mi"</formula>
    </cfRule>
    <cfRule type="expression" dxfId="25" priority="1082">
      <formula>#REF!="Mo"</formula>
    </cfRule>
    <cfRule type="expression" dxfId="24" priority="1083">
      <formula>#REF!="Di"</formula>
    </cfRule>
  </conditionalFormatting>
  <conditionalFormatting sqref="H1">
    <cfRule type="expression" dxfId="23" priority="169">
      <formula>$A1="Sa"</formula>
    </cfRule>
    <cfRule type="expression" dxfId="22" priority="170">
      <formula>$A1="Fr"</formula>
    </cfRule>
    <cfRule type="expression" dxfId="21" priority="171">
      <formula>$A1="Do"</formula>
    </cfRule>
    <cfRule type="expression" dxfId="20" priority="172">
      <formula>$A1="Mi"</formula>
    </cfRule>
    <cfRule type="expression" dxfId="19" priority="173">
      <formula>$A1="Mo"</formula>
    </cfRule>
    <cfRule type="expression" dxfId="18" priority="174">
      <formula>$A1="Di"</formula>
    </cfRule>
  </conditionalFormatting>
  <conditionalFormatting sqref="I30">
    <cfRule type="expression" dxfId="17" priority="915">
      <formula>#REF!="Fr"</formula>
    </cfRule>
    <cfRule type="expression" dxfId="16" priority="916">
      <formula>#REF!="Do"</formula>
    </cfRule>
    <cfRule type="expression" dxfId="15" priority="917">
      <formula>#REF!="Mi"</formula>
    </cfRule>
    <cfRule type="expression" dxfId="14" priority="918">
      <formula>#REF!="Mo"</formula>
    </cfRule>
    <cfRule type="expression" dxfId="13" priority="919">
      <formula>#REF!="Di"</formula>
    </cfRule>
    <cfRule type="expression" dxfId="12" priority="921">
      <formula>#REF!="Sa"</formula>
    </cfRule>
  </conditionalFormatting>
  <conditionalFormatting sqref="M59 M2:N4 M6:M9 N8 M114 M103:M109">
    <cfRule type="expression" dxfId="11" priority="625">
      <formula>#REF!="Fr"</formula>
    </cfRule>
  </conditionalFormatting>
  <conditionalFormatting sqref="M2:N4 M6:M9 N8 M59 M114 M103:M109">
    <cfRule type="expression" dxfId="10" priority="626">
      <formula>#REF!="Do"</formula>
    </cfRule>
    <cfRule type="expression" dxfId="9" priority="627">
      <formula>#REF!="Mi"</formula>
    </cfRule>
    <cfRule type="expression" dxfId="8" priority="628">
      <formula>#REF!="Mo"</formula>
    </cfRule>
    <cfRule type="expression" dxfId="7" priority="629">
      <formula>#REF!="Di"</formula>
    </cfRule>
    <cfRule type="expression" dxfId="6" priority="630">
      <formula>#REF!="Sa"</formula>
    </cfRule>
  </conditionalFormatting>
  <conditionalFormatting sqref="M8">
    <cfRule type="expression" dxfId="5" priority="1157">
      <formula>#REF!="Fr"</formula>
    </cfRule>
    <cfRule type="expression" dxfId="4" priority="1158">
      <formula>#REF!="Do"</formula>
    </cfRule>
    <cfRule type="expression" dxfId="3" priority="1159">
      <formula>#REF!="Mi"</formula>
    </cfRule>
    <cfRule type="expression" dxfId="2" priority="1160">
      <formula>#REF!="Mo"</formula>
    </cfRule>
    <cfRule type="expression" dxfId="1" priority="1161">
      <formula>#REF!="Di"</formula>
    </cfRule>
    <cfRule type="expression" dxfId="0" priority="1162">
      <formula>#REF!="Sa"</formula>
    </cfRule>
  </conditionalFormatting>
  <printOptions gridLines="1"/>
  <pageMargins left="0.11811023622047245" right="0.11811023622047245" top="0.19685039370078741" bottom="0.19685039370078741" header="0.11811023622047245" footer="0.11811023622047245"/>
  <pageSetup paperSize="8" scale="73"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anguage xmlns="9e9b9daf-3621-41a6-acc2-c0bd39099830" xsi:nil="true"/>
    <PublishingExpirationDate xmlns="9e9b9daf-3621-41a6-acc2-c0bd39099830" xsi:nil="true"/>
    <Standort xmlns="9e9b9daf-3621-41a6-acc2-c0bd39099830" xsi:nil="true"/>
    <lcf76f155ced4ddcb4097134ff3c332f xmlns="9e9b9daf-3621-41a6-acc2-c0bd39099830">
      <Terms xmlns="http://schemas.microsoft.com/office/infopath/2007/PartnerControls"/>
    </lcf76f155ced4ddcb4097134ff3c332f>
    <Sprach xmlns="9e9b9daf-3621-41a6-acc2-c0bd39099830" xsi:nil="true"/>
    <TaxCatchAll xmlns="484c8c59-755d-4516-b8d2-1621b38262b4" xsi:nil="true"/>
    <PublishingStartDate xmlns="9e9b9daf-3621-41a6-acc2-c0bd39099830" xsi:nil="true"/>
    <Kategorie xmlns="9e9b9daf-3621-41a6-acc2-c0bd3909983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6F23963988DE484C82FBBCBC42A7C19C" ma:contentTypeVersion="24" ma:contentTypeDescription="Ein neues Dokument erstellen." ma:contentTypeScope="" ma:versionID="5f2c139fceccc7ddad6eb1f99e7c9377">
  <xsd:schema xmlns:xsd="http://www.w3.org/2001/XMLSchema" xmlns:xs="http://www.w3.org/2001/XMLSchema" xmlns:p="http://schemas.microsoft.com/office/2006/metadata/properties" xmlns:ns2="9e9b9daf-3621-41a6-acc2-c0bd39099830" xmlns:ns3="201a69a4-21dc-4228-8c23-7c9e1bbfc4b8" xmlns:ns4="484c8c59-755d-4516-b8d2-1621b38262b4" targetNamespace="http://schemas.microsoft.com/office/2006/metadata/properties" ma:root="true" ma:fieldsID="05c0152ac0e545bd9f71d5d2cf784b46" ns2:_="" ns3:_="" ns4:_="">
    <xsd:import namespace="9e9b9daf-3621-41a6-acc2-c0bd39099830"/>
    <xsd:import namespace="201a69a4-21dc-4228-8c23-7c9e1bbfc4b8"/>
    <xsd:import namespace="484c8c59-755d-4516-b8d2-1621b38262b4"/>
    <xsd:element name="properties">
      <xsd:complexType>
        <xsd:sequence>
          <xsd:element name="documentManagement">
            <xsd:complexType>
              <xsd:all>
                <xsd:element ref="ns2:PublishingStartDate" minOccurs="0"/>
                <xsd:element ref="ns2:PublishingExpirationDate" minOccurs="0"/>
                <xsd:element ref="ns2:Kategorie" minOccurs="0"/>
                <xsd:element ref="ns2:Standort" minOccurs="0"/>
                <xsd:element ref="ns2:Sprach" minOccurs="0"/>
                <xsd:element ref="ns2:Language" minOccurs="0"/>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4: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9b9daf-3621-41a6-acc2-c0bd39099830" elementFormDefault="qualified">
    <xsd:import namespace="http://schemas.microsoft.com/office/2006/documentManagement/types"/>
    <xsd:import namespace="http://schemas.microsoft.com/office/infopath/2007/PartnerControls"/>
    <xsd:element name="PublishingStartDate" ma:index="4" nillable="true" ma:displayName="Geplantes Startdatum" ma:description="Geplantes Startdatum ist eine Websitespalte, die über das Feature zum Veröffentlichen erstellt wird. Es wird zur Angabe des Datums und der Uhrzeit verwendet, wann diese Seite Besuchern zum ersten Mal angezeigt wird." ma:format="DateTime" ma:internalName="PublishingStartDate" ma:readOnly="false">
      <xsd:simpleType>
        <xsd:restriction base="dms:Unknown"/>
      </xsd:simpleType>
    </xsd:element>
    <xsd:element name="PublishingExpirationDate" ma:index="5" nillable="true" ma:displayName="Geplantes Enddatum" ma:description="Geplantes Enddatum ist eine Websitespalte, die über das Feature zum Veröffentlichen erstellt wird. Es wird zur Angabe des Datums und der Uhrzeit verwendet, wann diese Seite Besuchern nicht mehr angezeigt wird." ma:format="DateTime" ma:internalName="PublishingExpirationDate" ma:readOnly="false">
      <xsd:simpleType>
        <xsd:restriction base="dms:Unknown"/>
      </xsd:simpleType>
    </xsd:element>
    <xsd:element name="Kategorie" ma:index="6" nillable="true" ma:displayName="Kategorie" ma:internalName="Kategorie" ma:readOnly="false">
      <xsd:simpleType>
        <xsd:restriction base="dms:Text">
          <xsd:maxLength value="255"/>
        </xsd:restriction>
      </xsd:simpleType>
    </xsd:element>
    <xsd:element name="Standort" ma:index="7" nillable="true" ma:displayName="Standort" ma:internalName="Standort" ma:readOnly="false">
      <xsd:simpleType>
        <xsd:restriction base="dms:Text">
          <xsd:maxLength value="255"/>
        </xsd:restriction>
      </xsd:simpleType>
    </xsd:element>
    <xsd:element name="Sprach" ma:index="8" nillable="true" ma:displayName="Sprach" ma:description="Deutsch&#10;English" ma:internalName="Sprach" ma:readOnly="false">
      <xsd:simpleType>
        <xsd:restriction base="dms:Text">
          <xsd:maxLength value="255"/>
        </xsd:restriction>
      </xsd:simpleType>
    </xsd:element>
    <xsd:element name="Language" ma:index="9" nillable="true" ma:displayName="Language" ma:description="Deutsch&#10;English" ma:internalName="Language" ma:readOnly="false">
      <xsd:simpleType>
        <xsd:restriction base="dms:Text">
          <xsd:maxLength value="255"/>
        </xsd:restriction>
      </xsd:simpleType>
    </xsd:element>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Bildmarkierungen" ma:readOnly="false" ma:fieldId="{5cf76f15-5ced-4ddc-b409-7134ff3c332f}" ma:taxonomyMulti="true" ma:sspId="7873907d-d049-4c15-acb6-7b8f2d6df67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OCR" ma:index="24" nillable="true" ma:displayName="Extracted Text" ma:internalName="MediaServiceOCR" ma:readOnly="true">
      <xsd:simpleType>
        <xsd:restriction base="dms:Note">
          <xsd:maxLength value="255"/>
        </xsd:restriction>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1a69a4-21dc-4228-8c23-7c9e1bbfc4b8" elementFormDefault="qualified">
    <xsd:import namespace="http://schemas.microsoft.com/office/2006/documentManagement/types"/>
    <xsd:import namespace="http://schemas.microsoft.com/office/infopath/2007/PartnerControls"/>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84c8c59-755d-4516-b8d2-1621b38262b4"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6caf284d-c1e5-43fc-b015-07e76d5a51eb}" ma:internalName="TaxCatchAll" ma:showField="CatchAllData" ma:web="201a69a4-21dc-4228-8c23-7c9e1bbfc4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0" ma:displayName="Inhaltstyp"/>
        <xsd:element ref="dc:title" minOccurs="0" maxOccurs="1" ma:index="3"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339625-ED0C-4F17-A4CE-320CF0DBD9F6}"/>
</file>

<file path=customXml/itemProps2.xml><?xml version="1.0" encoding="utf-8"?>
<ds:datastoreItem xmlns:ds="http://schemas.openxmlformats.org/officeDocument/2006/customXml" ds:itemID="{73F8C31C-FBCC-4630-A387-D2C22D04A64B}"/>
</file>

<file path=customXml/itemProps3.xml><?xml version="1.0" encoding="utf-8"?>
<ds:datastoreItem xmlns:ds="http://schemas.openxmlformats.org/officeDocument/2006/customXml" ds:itemID="{8DDC260A-FB99-4C0E-8392-D52FA76F2C42}"/>
</file>

<file path=docProps/app.xml><?xml version="1.0" encoding="utf-8"?>
<Properties xmlns="http://schemas.openxmlformats.org/officeDocument/2006/extended-properties" xmlns:vt="http://schemas.openxmlformats.org/officeDocument/2006/docPropsVTypes">
  <Application>Microsoft Excel Online</Application>
  <Manager/>
  <Company>Fachhochschule Nordwestschweiz</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Fiona Trachsel</dc:creator>
  <cp:keywords/>
  <dc:description/>
  <cp:lastModifiedBy>Fiona Trachsel</cp:lastModifiedBy>
  <cp:revision/>
  <dcterms:created xsi:type="dcterms:W3CDTF">2024-01-31T11:32:33Z</dcterms:created>
  <dcterms:modified xsi:type="dcterms:W3CDTF">2026-02-10T12:20:22Z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0x0101006F23963988DE484C82FBBCBC42A7C19C</vt:lpwstr>
  </property>
  <property fmtid="{D5CDD505-2E9C-101B-9397-08002B2CF9AE}" pid="3" name="MediaServiceImageTags">
    <vt:lpwstr/>
  </property>
</Properties>
</file>