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S:\HSW\A1912_Ausbildung\A1912_BA_Ausbildung\Prüfungswesen\1 Prüfungen\0 HS25\Prüfungsplan\publiziert\"/>
    </mc:Choice>
  </mc:AlternateContent>
  <xr:revisionPtr revIDLastSave="2" documentId="13_ncr:1_{30C617A8-20B1-4849-AFA0-8F2071AF1534}" xr6:coauthVersionLast="47" xr6:coauthVersionMax="47" xr10:uidLastSave="{10F4DC97-C32C-4474-ADFE-9890C85E04D1}"/>
  <bookViews>
    <workbookView xWindow="-28995" yWindow="-120" windowWidth="29040" windowHeight="15720" xr2:uid="{D31ABE01-572A-4CFE-B481-3319C3678639}"/>
  </bookViews>
  <sheets>
    <sheet name="Examination plan HS25 Basel" sheetId="1" r:id="rId1"/>
  </sheets>
  <definedNames>
    <definedName name="_xlnm._FilterDatabase" localSheetId="0" hidden="1">'Examination plan HS25 Basel'!$A$1:$O$52</definedName>
    <definedName name="_xlnm.Print_Area" localSheetId="0">'Examination plan HS25 Basel'!$A$1:$O$52</definedName>
    <definedName name="_xlnm.Print_Titles" localSheetId="0">'Examination plan HS25 Basel'!$1:$1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1" l="1"/>
  <c r="E44" i="1"/>
  <c r="E39" i="1"/>
  <c r="E41" i="1"/>
  <c r="E34" i="1"/>
  <c r="E36" i="1"/>
  <c r="E32" i="1"/>
  <c r="E27" i="1" l="1"/>
  <c r="E28" i="1"/>
  <c r="E23" i="1"/>
  <c r="E25" i="1"/>
  <c r="E16" i="1" l="1"/>
  <c r="E18" i="1"/>
  <c r="E14" i="1"/>
  <c r="E11" i="1" l="1"/>
  <c r="E10" i="1"/>
  <c r="E8" i="1"/>
  <c r="E6" i="1"/>
  <c r="E4" i="1"/>
  <c r="E24" i="1" l="1"/>
  <c r="E46" i="1" l="1"/>
  <c r="E42" i="1" l="1"/>
  <c r="E2" i="1" l="1"/>
  <c r="E9" i="1"/>
  <c r="E40" i="1"/>
  <c r="E38" i="1"/>
  <c r="E17" i="1"/>
  <c r="E15" i="1"/>
  <c r="E12" i="1" l="1"/>
  <c r="E13" i="1"/>
  <c r="E22" i="1"/>
  <c r="E33" i="1"/>
  <c r="E35" i="1"/>
  <c r="E26" i="1"/>
  <c r="E37" i="1"/>
  <c r="E29" i="1"/>
  <c r="E43" i="1"/>
  <c r="E19" i="1"/>
  <c r="E7" i="1"/>
  <c r="E5" i="1"/>
  <c r="E30" i="1"/>
  <c r="E20" i="1"/>
  <c r="E31" i="1"/>
  <c r="E3" i="1"/>
  <c r="E21" i="1"/>
  <c r="E47" i="1"/>
  <c r="E48" i="1"/>
  <c r="E49" i="1"/>
  <c r="E50" i="1"/>
  <c r="E51" i="1"/>
  <c r="E52" i="1"/>
</calcChain>
</file>

<file path=xl/sharedStrings.xml><?xml version="1.0" encoding="utf-8"?>
<sst xmlns="http://schemas.openxmlformats.org/spreadsheetml/2006/main" count="392" uniqueCount="116">
  <si>
    <t>Tag
Day</t>
  </si>
  <si>
    <t>Datum
Date</t>
  </si>
  <si>
    <t>Beginn
Start</t>
  </si>
  <si>
    <t>Ende
End</t>
  </si>
  <si>
    <t>Dauer
Duration</t>
  </si>
  <si>
    <t>Pause
Break</t>
  </si>
  <si>
    <t>Modul/Kurs
Module/Course</t>
  </si>
  <si>
    <t>Dozierende
Lecturers</t>
  </si>
  <si>
    <t>Studiengang
Study Program</t>
  </si>
  <si>
    <t>Semester / Semestre</t>
  </si>
  <si>
    <t>Klassen / Classes</t>
  </si>
  <si>
    <t>Prüfungsart
Type of examination</t>
  </si>
  <si>
    <t>Info / erlaubte Hilfsmittel
Info  / admissible aids</t>
  </si>
  <si>
    <t>Anzahl / Size</t>
  </si>
  <si>
    <t>Raum
Room</t>
  </si>
  <si>
    <t>Fr</t>
  </si>
  <si>
    <t>German for Beginners</t>
  </si>
  <si>
    <t>Massimo Romano</t>
  </si>
  <si>
    <t>IBM / BIT</t>
  </si>
  <si>
    <t>on paper</t>
  </si>
  <si>
    <t>dictionary</t>
  </si>
  <si>
    <t>-1.01</t>
  </si>
  <si>
    <t>Do</t>
  </si>
  <si>
    <t>Economics (BITPT 2b)</t>
  </si>
  <si>
    <t>Freiburghaus Markus</t>
  </si>
  <si>
    <t>BIT: PT</t>
  </si>
  <si>
    <t>MooPad</t>
  </si>
  <si>
    <t>TI 30 and TI 84
1 cheat sheet A4</t>
  </si>
  <si>
    <t>3.13</t>
  </si>
  <si>
    <t>NA Gruppe</t>
  </si>
  <si>
    <t>1.12</t>
  </si>
  <si>
    <t>Corporate Finance and Controlling (BITFT 2a)</t>
  </si>
  <si>
    <t>Schuler Brido</t>
  </si>
  <si>
    <t>BIT: FT</t>
  </si>
  <si>
    <t>A-I</t>
  </si>
  <si>
    <t>TI 30
Cheat sheet (A4 sheet: front and back)</t>
  </si>
  <si>
    <t>J-Z</t>
  </si>
  <si>
    <t>2.13</t>
  </si>
  <si>
    <t>Mo</t>
  </si>
  <si>
    <t>Business Intelligence (BITPT 3b)</t>
  </si>
  <si>
    <t>Wilke Gwendolin, Inglese Terry</t>
  </si>
  <si>
    <t>A-L</t>
  </si>
  <si>
    <t xml:space="preserve">TI 30, Self created Cheat Sheet (1 page) </t>
  </si>
  <si>
    <t>M-Z</t>
  </si>
  <si>
    <t>-1.03</t>
  </si>
  <si>
    <t>Critical Thinking and Academic Writing</t>
  </si>
  <si>
    <t xml:space="preserve">Terry Inglese
</t>
  </si>
  <si>
    <t>none</t>
  </si>
  <si>
    <t>Di</t>
  </si>
  <si>
    <t>Applied Mathematics 1</t>
  </si>
  <si>
    <t>Caterina Savi</t>
  </si>
  <si>
    <t>TI 30
Formulary sheet provided by FHNW</t>
  </si>
  <si>
    <t>BIT: PT/FT</t>
  </si>
  <si>
    <t>Mi</t>
  </si>
  <si>
    <t>Statistics 1</t>
  </si>
  <si>
    <t>Tsvetana Spasova</t>
  </si>
  <si>
    <t>A-K</t>
  </si>
  <si>
    <t>TI-30
One A4 page as cheat sheet (both sides may be used)</t>
  </si>
  <si>
    <t>L-Z</t>
  </si>
  <si>
    <t>Souvik Datta</t>
  </si>
  <si>
    <t>Programming 2 (BITPT 2b)</t>
  </si>
  <si>
    <t>Phillip Gachnang, Rainer Telesko</t>
  </si>
  <si>
    <t>2 A4 sheets ( 4 pages)</t>
  </si>
  <si>
    <t>Digital Business Models (BITFT 3a)</t>
  </si>
  <si>
    <t>Leimstoll Uwe, Fenner Johannes</t>
  </si>
  <si>
    <t>FT3a</t>
  </si>
  <si>
    <t>neu: MooPad</t>
  </si>
  <si>
    <t xml:space="preserve">No materials allowed </t>
  </si>
  <si>
    <t>Statistics and Probability (BITPT 3b)</t>
  </si>
  <si>
    <t>Tobias Schoch</t>
  </si>
  <si>
    <t>TI-30, One A4 page as cheat sheet (both sides may be used)</t>
  </si>
  <si>
    <t>Principles of Management</t>
  </si>
  <si>
    <t>4.15</t>
  </si>
  <si>
    <t>0.02</t>
  </si>
  <si>
    <t>3.14</t>
  </si>
  <si>
    <t>1.02</t>
  </si>
  <si>
    <t>Strategic Digital Management (DBM/CSM)</t>
  </si>
  <si>
    <t>Claudio Giovanoli, Lionel Pilorget</t>
  </si>
  <si>
    <t>BIT</t>
  </si>
  <si>
    <t>closed book (no materials allowed)</t>
  </si>
  <si>
    <t>Logistics and Supply Chain Management (BITPT 3b)</t>
  </si>
  <si>
    <t>Wörner Dominik</t>
  </si>
  <si>
    <t>TI-30, TI-84
Leeres Blatt Papier und Bleistift, nicht einzureichen</t>
  </si>
  <si>
    <t>Ethics and Law (BITFT 2a)</t>
  </si>
  <si>
    <t>Grimberg Frank, Hermetschweiler Ursula</t>
  </si>
  <si>
    <t>One sheet of paper (A4), printed/written on both sides (whatever information)
Dictionary (book: English-English or any language-English)</t>
  </si>
  <si>
    <t>IT-Security (BITFT 2a &amp; BITPT 3b)</t>
  </si>
  <si>
    <t>Swantje Westpfahl, Ilya Misyura</t>
  </si>
  <si>
    <t>3/7</t>
  </si>
  <si>
    <t>Programming Foundations</t>
  </si>
  <si>
    <t xml:space="preserve">Rainer Telesko, Phillip Gachnang, Devid Montecchiari </t>
  </si>
  <si>
    <t>FT1a A-L</t>
  </si>
  <si>
    <t>FT1a M-Z</t>
  </si>
  <si>
    <t>Rainer Telesko, Phillip Gachnang</t>
  </si>
  <si>
    <t>PT1b</t>
  </si>
  <si>
    <t>PT1b / FT1a NA Gruppe</t>
  </si>
  <si>
    <t>Database Technology (BITFT 2a)</t>
  </si>
  <si>
    <t>Pustulka Elzbieta</t>
  </si>
  <si>
    <t>Moodle (BYOD) and paper</t>
  </si>
  <si>
    <t>Auf Prüfungspapier ist Aufgabe 1 schriftlich zu lösen
Allowed: any paper, including book</t>
  </si>
  <si>
    <t>-1.02</t>
  </si>
  <si>
    <t>Digital Business</t>
  </si>
  <si>
    <t xml:space="preserve">Pragati Siddhanti </t>
  </si>
  <si>
    <t>PT/FT NA Gruppe</t>
  </si>
  <si>
    <t>Business Process Management REP JUST EXAM</t>
  </si>
  <si>
    <t>Jüngling Stephan</t>
  </si>
  <si>
    <t>TI-30 or TI-84
5 A4 pages (both sided) or 10 A4 (single sided)</t>
  </si>
  <si>
    <t>Enterprise Systems (BITFT 2a &amp; BITPT 2b)</t>
  </si>
  <si>
    <t>Pragati Siddhanti</t>
  </si>
  <si>
    <t>Accounting REP JUST EXAM</t>
  </si>
  <si>
    <t>Brido Schuler</t>
  </si>
  <si>
    <t>Einsicht BÖK/BIT 3. Sem. und höher</t>
  </si>
  <si>
    <t>BÖK/BIT</t>
  </si>
  <si>
    <t>Termin und Zeit provisorisch - Detailplanung erst später</t>
  </si>
  <si>
    <t>offen</t>
  </si>
  <si>
    <t>Einsicht BÖK/BIT 3. Sem. und höher + Ass. Stufe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</si>
</sst>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
  </numFmts>
  <fonts count="6">
    <font>
      <sz val="11"/>
      <color theme="1"/>
      <name val="Calibri"/>
      <family val="2"/>
      <scheme val="minor"/>
    </font>
    <font>
      <b/>
      <sz val="11"/>
      <name val="Calibri"/>
      <family val="2"/>
      <scheme val="minor"/>
    </font>
    <font>
      <sz val="8"/>
      <name val="Calibri"/>
      <family val="2"/>
      <scheme val="minor"/>
    </font>
    <font>
      <sz val="11"/>
      <name val="Calibri"/>
      <family val="2"/>
      <scheme val="minor"/>
    </font>
    <font>
      <sz val="12"/>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7">
    <xf numFmtId="0" fontId="0" fillId="0" borderId="0" xfId="0"/>
    <xf numFmtId="0" fontId="3" fillId="0" borderId="1" xfId="0" applyFont="1" applyBorder="1" applyAlignment="1">
      <alignment vertical="center" wrapText="1"/>
    </xf>
    <xf numFmtId="0" fontId="3" fillId="0" borderId="0" xfId="0" applyFont="1" applyAlignment="1">
      <alignment vertical="center" wrapText="1"/>
    </xf>
    <xf numFmtId="49" fontId="3" fillId="0" borderId="1" xfId="0" applyNumberFormat="1" applyFont="1" applyBorder="1" applyAlignment="1">
      <alignment horizontal="left"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49" fontId="3" fillId="0" borderId="1" xfId="0" applyNumberFormat="1" applyFont="1" applyBorder="1" applyAlignment="1">
      <alignment vertical="center" wrapText="1"/>
    </xf>
    <xf numFmtId="49" fontId="3" fillId="0" borderId="0" xfId="0" applyNumberFormat="1" applyFont="1" applyAlignment="1">
      <alignment vertical="center" wrapText="1"/>
    </xf>
    <xf numFmtId="14" fontId="3" fillId="0" borderId="1" xfId="0" applyNumberFormat="1" applyFont="1" applyBorder="1" applyAlignment="1">
      <alignment vertical="center" wrapText="1"/>
    </xf>
    <xf numFmtId="20" fontId="3" fillId="0" borderId="1" xfId="0" applyNumberFormat="1" applyFont="1" applyBorder="1" applyAlignment="1">
      <alignment vertical="center" wrapText="1"/>
    </xf>
    <xf numFmtId="164" fontId="3" fillId="0" borderId="1" xfId="0" applyNumberFormat="1" applyFont="1" applyBorder="1" applyAlignment="1">
      <alignment vertical="center" wrapText="1"/>
    </xf>
    <xf numFmtId="0" fontId="3" fillId="0" borderId="1" xfId="0" applyFont="1" applyBorder="1" applyAlignment="1">
      <alignment horizontal="left" vertical="center" wrapText="1"/>
    </xf>
    <xf numFmtId="16" fontId="3" fillId="0" borderId="1" xfId="0" quotePrefix="1" applyNumberFormat="1" applyFont="1" applyBorder="1" applyAlignment="1">
      <alignment horizontal="left" vertical="center" wrapText="1"/>
    </xf>
    <xf numFmtId="14" fontId="5" fillId="0" borderId="1" xfId="0" applyNumberFormat="1" applyFont="1" applyBorder="1" applyAlignment="1">
      <alignment vertical="center" wrapText="1"/>
    </xf>
    <xf numFmtId="20" fontId="5" fillId="0" borderId="1" xfId="0" applyNumberFormat="1" applyFont="1" applyBorder="1" applyAlignment="1">
      <alignment vertical="center" wrapText="1"/>
    </xf>
    <xf numFmtId="164" fontId="5" fillId="0" borderId="1" xfId="0" applyNumberFormat="1" applyFont="1" applyBorder="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5" fillId="0" borderId="1" xfId="0" applyFont="1" applyBorder="1" applyAlignment="1">
      <alignment horizontal="left" vertical="center" wrapText="1"/>
    </xf>
    <xf numFmtId="49" fontId="5" fillId="0" borderId="1" xfId="0" applyNumberFormat="1" applyFont="1" applyBorder="1" applyAlignment="1">
      <alignment horizontal="left" vertical="center" wrapText="1"/>
    </xf>
    <xf numFmtId="49" fontId="3" fillId="0" borderId="1" xfId="0" applyNumberFormat="1" applyFont="1" applyBorder="1" applyAlignment="1">
      <alignment horizontal="right" vertical="center" wrapText="1"/>
    </xf>
    <xf numFmtId="0" fontId="3" fillId="0" borderId="0" xfId="0" applyFont="1" applyAlignment="1">
      <alignment horizontal="right" vertical="center" wrapText="1"/>
    </xf>
    <xf numFmtId="1" fontId="3" fillId="0" borderId="1"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49" fontId="1" fillId="0" borderId="1" xfId="0" applyNumberFormat="1" applyFont="1" applyBorder="1" applyAlignment="1">
      <alignment vertical="center" wrapText="1"/>
    </xf>
    <xf numFmtId="0" fontId="1" fillId="0" borderId="1" xfId="0" applyFont="1" applyBorder="1" applyAlignment="1">
      <alignment horizontal="center" vertical="center" wrapText="1"/>
    </xf>
  </cellXfs>
  <cellStyles count="2">
    <cellStyle name="Standard" xfId="0" builtinId="0"/>
    <cellStyle name="Standard 2" xfId="1" xr:uid="{D17A9011-3E48-49D4-A0D4-4FC773745AB2}"/>
  </cellStyles>
  <dxfs count="48">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EFB29D-6C40-432F-9F65-83A16BD2B52C}">
  <we:reference id="wa200005271" version="2.5.5.0" store="de-DE"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41E2-8F03-4200-A015-DBFDB9A7FB7A}">
  <sheetPr>
    <pageSetUpPr fitToPage="1"/>
  </sheetPr>
  <dimension ref="A1:O52"/>
  <sheetViews>
    <sheetView tabSelected="1" zoomScale="80" zoomScaleNormal="80" workbookViewId="0">
      <pane xSplit="7" ySplit="1" topLeftCell="H9" activePane="bottomRight" state="frozen"/>
      <selection pane="bottomRight" activeCell="K34" sqref="K34"/>
      <selection pane="bottomLeft" activeCell="A2" sqref="A2"/>
      <selection pane="topRight" activeCell="H1" sqref="H1"/>
    </sheetView>
  </sheetViews>
  <sheetFormatPr defaultColWidth="11.42578125" defaultRowHeight="15" customHeight="1" outlineLevelCol="1"/>
  <cols>
    <col min="1" max="1" width="5.28515625" style="2" customWidth="1"/>
    <col min="2" max="2" width="12.42578125" style="2" bestFit="1" customWidth="1"/>
    <col min="3" max="3" width="8.5703125" style="2" customWidth="1"/>
    <col min="4" max="4" width="7.42578125" style="2" customWidth="1"/>
    <col min="5" max="5" width="8.7109375" style="2" bestFit="1" customWidth="1"/>
    <col min="6" max="6" width="7.140625" style="2" customWidth="1" outlineLevel="1"/>
    <col min="7" max="7" width="37.140625" style="2" customWidth="1"/>
    <col min="8" max="8" width="23.85546875" style="2" customWidth="1" outlineLevel="1"/>
    <col min="9" max="9" width="14.42578125" style="16" customWidth="1"/>
    <col min="10" max="10" width="13.85546875" style="16" customWidth="1" outlineLevel="1"/>
    <col min="11" max="11" width="12.5703125" style="7" customWidth="1" outlineLevel="1"/>
    <col min="12" max="12" width="17.85546875" style="16" customWidth="1"/>
    <col min="13" max="13" width="41.28515625" style="16" customWidth="1" outlineLevel="1"/>
    <col min="14" max="14" width="9.5703125" style="17" customWidth="1"/>
    <col min="15" max="15" width="10" style="21" customWidth="1"/>
    <col min="16" max="16384" width="11.42578125" style="2"/>
  </cols>
  <sheetData>
    <row r="1" spans="1:15" ht="30">
      <c r="A1" s="5" t="s">
        <v>0</v>
      </c>
      <c r="B1" s="5" t="s">
        <v>1</v>
      </c>
      <c r="C1" s="5" t="s">
        <v>2</v>
      </c>
      <c r="D1" s="5" t="s">
        <v>3</v>
      </c>
      <c r="E1" s="5" t="s">
        <v>4</v>
      </c>
      <c r="F1" s="5" t="s">
        <v>5</v>
      </c>
      <c r="G1" s="5" t="s">
        <v>6</v>
      </c>
      <c r="H1" s="5" t="s">
        <v>7</v>
      </c>
      <c r="I1" s="24" t="s">
        <v>8</v>
      </c>
      <c r="J1" s="24" t="s">
        <v>9</v>
      </c>
      <c r="K1" s="25" t="s">
        <v>10</v>
      </c>
      <c r="L1" s="24" t="s">
        <v>11</v>
      </c>
      <c r="M1" s="24" t="s">
        <v>12</v>
      </c>
      <c r="N1" s="26" t="s">
        <v>13</v>
      </c>
      <c r="O1" s="26" t="s">
        <v>14</v>
      </c>
    </row>
    <row r="2" spans="1:15">
      <c r="A2" s="1" t="s">
        <v>15</v>
      </c>
      <c r="B2" s="8">
        <v>46010</v>
      </c>
      <c r="C2" s="9">
        <v>0.54166666666666663</v>
      </c>
      <c r="D2" s="9">
        <v>0.58333333333333337</v>
      </c>
      <c r="E2" s="10">
        <f t="shared" ref="E2:E3" si="0">D2-C2</f>
        <v>4.1666666666666741E-2</v>
      </c>
      <c r="F2" s="10">
        <v>0</v>
      </c>
      <c r="G2" s="1" t="s">
        <v>16</v>
      </c>
      <c r="H2" s="1" t="s">
        <v>17</v>
      </c>
      <c r="I2" s="11" t="s">
        <v>18</v>
      </c>
      <c r="J2" s="11">
        <v>3</v>
      </c>
      <c r="K2" s="3"/>
      <c r="L2" s="3" t="s">
        <v>19</v>
      </c>
      <c r="M2" s="3" t="s">
        <v>20</v>
      </c>
      <c r="N2" s="22">
        <v>18</v>
      </c>
      <c r="O2" s="20" t="s">
        <v>21</v>
      </c>
    </row>
    <row r="3" spans="1:15" ht="30">
      <c r="A3" s="1" t="s">
        <v>22</v>
      </c>
      <c r="B3" s="8">
        <v>46030</v>
      </c>
      <c r="C3" s="9">
        <v>0.54166666666666663</v>
      </c>
      <c r="D3" s="9">
        <v>0.60416666666666663</v>
      </c>
      <c r="E3" s="10">
        <f t="shared" si="0"/>
        <v>6.25E-2</v>
      </c>
      <c r="F3" s="10">
        <v>0</v>
      </c>
      <c r="G3" s="1" t="s">
        <v>23</v>
      </c>
      <c r="H3" s="1" t="s">
        <v>24</v>
      </c>
      <c r="I3" s="11" t="s">
        <v>25</v>
      </c>
      <c r="J3" s="11">
        <v>3</v>
      </c>
      <c r="K3" s="3"/>
      <c r="L3" s="3" t="s">
        <v>26</v>
      </c>
      <c r="M3" s="6" t="s">
        <v>27</v>
      </c>
      <c r="N3" s="22">
        <v>29</v>
      </c>
      <c r="O3" s="20" t="s">
        <v>28</v>
      </c>
    </row>
    <row r="4" spans="1:15" ht="30">
      <c r="A4" s="1" t="s">
        <v>22</v>
      </c>
      <c r="B4" s="8">
        <v>46030</v>
      </c>
      <c r="C4" s="9">
        <v>0.54166666666666663</v>
      </c>
      <c r="D4" s="9">
        <v>0.62152777777777779</v>
      </c>
      <c r="E4" s="10">
        <f t="shared" ref="E4" si="1">D4-C4</f>
        <v>7.986111111111116E-2</v>
      </c>
      <c r="F4" s="10">
        <v>0</v>
      </c>
      <c r="G4" s="1" t="s">
        <v>23</v>
      </c>
      <c r="H4" s="1" t="s">
        <v>24</v>
      </c>
      <c r="I4" s="11" t="s">
        <v>25</v>
      </c>
      <c r="J4" s="11">
        <v>3</v>
      </c>
      <c r="K4" s="3" t="s">
        <v>29</v>
      </c>
      <c r="L4" s="3" t="s">
        <v>26</v>
      </c>
      <c r="M4" s="6" t="s">
        <v>27</v>
      </c>
      <c r="N4" s="22">
        <v>1</v>
      </c>
      <c r="O4" s="20" t="s">
        <v>30</v>
      </c>
    </row>
    <row r="5" spans="1:15" ht="30">
      <c r="A5" s="1" t="s">
        <v>15</v>
      </c>
      <c r="B5" s="8">
        <v>46031</v>
      </c>
      <c r="C5" s="9">
        <v>0.375</v>
      </c>
      <c r="D5" s="9">
        <v>0.4375</v>
      </c>
      <c r="E5" s="10">
        <f t="shared" ref="E5:E6" si="2">D5-C5</f>
        <v>6.25E-2</v>
      </c>
      <c r="F5" s="10">
        <v>0</v>
      </c>
      <c r="G5" s="1" t="s">
        <v>31</v>
      </c>
      <c r="H5" s="1" t="s">
        <v>32</v>
      </c>
      <c r="I5" s="11" t="s">
        <v>33</v>
      </c>
      <c r="J5" s="11">
        <v>3</v>
      </c>
      <c r="K5" s="11" t="s">
        <v>34</v>
      </c>
      <c r="L5" s="3" t="s">
        <v>19</v>
      </c>
      <c r="M5" s="6" t="s">
        <v>35</v>
      </c>
      <c r="N5" s="22">
        <v>16</v>
      </c>
      <c r="O5" s="20" t="s">
        <v>28</v>
      </c>
    </row>
    <row r="6" spans="1:15" ht="30">
      <c r="A6" s="1" t="s">
        <v>15</v>
      </c>
      <c r="B6" s="8">
        <v>46031</v>
      </c>
      <c r="C6" s="9">
        <v>0.375</v>
      </c>
      <c r="D6" s="9">
        <v>0.4375</v>
      </c>
      <c r="E6" s="10">
        <f t="shared" si="2"/>
        <v>6.25E-2</v>
      </c>
      <c r="F6" s="10">
        <v>0</v>
      </c>
      <c r="G6" s="1" t="s">
        <v>31</v>
      </c>
      <c r="H6" s="1" t="s">
        <v>32</v>
      </c>
      <c r="I6" s="11" t="s">
        <v>33</v>
      </c>
      <c r="J6" s="11">
        <v>3</v>
      </c>
      <c r="K6" s="11" t="s">
        <v>36</v>
      </c>
      <c r="L6" s="3" t="s">
        <v>19</v>
      </c>
      <c r="M6" s="6" t="s">
        <v>35</v>
      </c>
      <c r="N6" s="22">
        <v>18</v>
      </c>
      <c r="O6" s="20" t="s">
        <v>37</v>
      </c>
    </row>
    <row r="7" spans="1:15" ht="30">
      <c r="A7" s="1" t="s">
        <v>38</v>
      </c>
      <c r="B7" s="8">
        <v>46034</v>
      </c>
      <c r="C7" s="9">
        <v>0.375</v>
      </c>
      <c r="D7" s="9">
        <v>0.4375</v>
      </c>
      <c r="E7" s="10">
        <f t="shared" ref="E7:E20" si="3">D7-C7</f>
        <v>6.25E-2</v>
      </c>
      <c r="F7" s="10">
        <v>0</v>
      </c>
      <c r="G7" s="1" t="s">
        <v>39</v>
      </c>
      <c r="H7" s="1" t="s">
        <v>40</v>
      </c>
      <c r="I7" s="11" t="s">
        <v>25</v>
      </c>
      <c r="J7" s="11">
        <v>5</v>
      </c>
      <c r="K7" s="3" t="s">
        <v>41</v>
      </c>
      <c r="L7" s="3" t="s">
        <v>19</v>
      </c>
      <c r="M7" s="3" t="s">
        <v>42</v>
      </c>
      <c r="N7" s="22">
        <v>16</v>
      </c>
      <c r="O7" s="20" t="s">
        <v>21</v>
      </c>
    </row>
    <row r="8" spans="1:15" ht="30">
      <c r="A8" s="1" t="s">
        <v>38</v>
      </c>
      <c r="B8" s="8">
        <v>46034</v>
      </c>
      <c r="C8" s="9">
        <v>0.375</v>
      </c>
      <c r="D8" s="9">
        <v>0.4375</v>
      </c>
      <c r="E8" s="10">
        <f t="shared" ref="E8" si="4">D8-C8</f>
        <v>6.25E-2</v>
      </c>
      <c r="F8" s="10">
        <v>0</v>
      </c>
      <c r="G8" s="1" t="s">
        <v>39</v>
      </c>
      <c r="H8" s="1" t="s">
        <v>40</v>
      </c>
      <c r="I8" s="11" t="s">
        <v>25</v>
      </c>
      <c r="J8" s="11">
        <v>5</v>
      </c>
      <c r="K8" s="3" t="s">
        <v>43</v>
      </c>
      <c r="L8" s="3" t="s">
        <v>19</v>
      </c>
      <c r="M8" s="3" t="s">
        <v>42</v>
      </c>
      <c r="N8" s="22">
        <v>20</v>
      </c>
      <c r="O8" s="20" t="s">
        <v>44</v>
      </c>
    </row>
    <row r="9" spans="1:15" ht="30">
      <c r="A9" s="1" t="s">
        <v>38</v>
      </c>
      <c r="B9" s="8">
        <v>46034</v>
      </c>
      <c r="C9" s="9">
        <v>0.58333333333333337</v>
      </c>
      <c r="D9" s="9">
        <v>0.625</v>
      </c>
      <c r="E9" s="10">
        <f t="shared" si="3"/>
        <v>4.166666666666663E-2</v>
      </c>
      <c r="F9" s="10">
        <v>0</v>
      </c>
      <c r="G9" s="1" t="s">
        <v>45</v>
      </c>
      <c r="H9" s="1" t="s">
        <v>46</v>
      </c>
      <c r="I9" s="11" t="s">
        <v>33</v>
      </c>
      <c r="J9" s="11">
        <v>1</v>
      </c>
      <c r="K9" s="3" t="s">
        <v>34</v>
      </c>
      <c r="L9" s="3" t="s">
        <v>19</v>
      </c>
      <c r="M9" s="6" t="s">
        <v>47</v>
      </c>
      <c r="N9" s="22">
        <v>16</v>
      </c>
      <c r="O9" s="20" t="s">
        <v>21</v>
      </c>
    </row>
    <row r="10" spans="1:15" ht="30">
      <c r="A10" s="1" t="s">
        <v>38</v>
      </c>
      <c r="B10" s="8">
        <v>46034</v>
      </c>
      <c r="C10" s="9">
        <v>0.58333333333333337</v>
      </c>
      <c r="D10" s="9">
        <v>0.625</v>
      </c>
      <c r="E10" s="10">
        <f t="shared" ref="E10:E11" si="5">D10-C10</f>
        <v>4.166666666666663E-2</v>
      </c>
      <c r="F10" s="10">
        <v>0</v>
      </c>
      <c r="G10" s="1" t="s">
        <v>45</v>
      </c>
      <c r="H10" s="1" t="s">
        <v>46</v>
      </c>
      <c r="I10" s="11" t="s">
        <v>33</v>
      </c>
      <c r="J10" s="11">
        <v>1</v>
      </c>
      <c r="K10" s="3" t="s">
        <v>36</v>
      </c>
      <c r="L10" s="3" t="s">
        <v>19</v>
      </c>
      <c r="M10" s="6" t="s">
        <v>47</v>
      </c>
      <c r="N10" s="22">
        <v>19</v>
      </c>
      <c r="O10" s="20" t="s">
        <v>44</v>
      </c>
    </row>
    <row r="11" spans="1:15" ht="30">
      <c r="A11" s="1" t="s">
        <v>38</v>
      </c>
      <c r="B11" s="8">
        <v>46034</v>
      </c>
      <c r="C11" s="9">
        <v>0.58333333333333337</v>
      </c>
      <c r="D11" s="9">
        <v>0.63541666666666663</v>
      </c>
      <c r="E11" s="10">
        <f t="shared" si="5"/>
        <v>5.2083333333333259E-2</v>
      </c>
      <c r="F11" s="10">
        <v>0</v>
      </c>
      <c r="G11" s="1" t="s">
        <v>45</v>
      </c>
      <c r="H11" s="1" t="s">
        <v>46</v>
      </c>
      <c r="I11" s="11" t="s">
        <v>33</v>
      </c>
      <c r="J11" s="11">
        <v>1</v>
      </c>
      <c r="K11" s="3" t="s">
        <v>29</v>
      </c>
      <c r="L11" s="3" t="s">
        <v>19</v>
      </c>
      <c r="M11" s="6" t="s">
        <v>47</v>
      </c>
      <c r="N11" s="22">
        <v>4</v>
      </c>
      <c r="O11" s="20" t="s">
        <v>30</v>
      </c>
    </row>
    <row r="12" spans="1:15" ht="30">
      <c r="A12" s="1" t="s">
        <v>48</v>
      </c>
      <c r="B12" s="8">
        <v>46035</v>
      </c>
      <c r="C12" s="9">
        <v>0.4375</v>
      </c>
      <c r="D12" s="9">
        <v>0.47916666666666669</v>
      </c>
      <c r="E12" s="10">
        <f t="shared" si="3"/>
        <v>4.1666666666666685E-2</v>
      </c>
      <c r="F12" s="10">
        <v>0</v>
      </c>
      <c r="G12" s="1" t="s">
        <v>49</v>
      </c>
      <c r="H12" s="1" t="s">
        <v>50</v>
      </c>
      <c r="I12" s="11" t="s">
        <v>25</v>
      </c>
      <c r="J12" s="11">
        <v>1</v>
      </c>
      <c r="K12" s="3"/>
      <c r="L12" s="3" t="s">
        <v>19</v>
      </c>
      <c r="M12" s="6" t="s">
        <v>51</v>
      </c>
      <c r="N12" s="22">
        <v>26</v>
      </c>
      <c r="O12" s="20" t="s">
        <v>37</v>
      </c>
    </row>
    <row r="13" spans="1:15" ht="30">
      <c r="A13" s="1" t="s">
        <v>48</v>
      </c>
      <c r="B13" s="8">
        <v>46035</v>
      </c>
      <c r="C13" s="9">
        <v>0.4375</v>
      </c>
      <c r="D13" s="9">
        <v>0.47916666666666669</v>
      </c>
      <c r="E13" s="10">
        <f t="shared" si="3"/>
        <v>4.1666666666666685E-2</v>
      </c>
      <c r="F13" s="10">
        <v>0</v>
      </c>
      <c r="G13" s="1" t="s">
        <v>49</v>
      </c>
      <c r="H13" s="1" t="s">
        <v>50</v>
      </c>
      <c r="I13" s="11" t="s">
        <v>33</v>
      </c>
      <c r="J13" s="11">
        <v>1</v>
      </c>
      <c r="K13" s="3"/>
      <c r="L13" s="3" t="s">
        <v>19</v>
      </c>
      <c r="M13" s="6" t="s">
        <v>51</v>
      </c>
      <c r="N13" s="22">
        <v>30</v>
      </c>
      <c r="O13" s="20" t="s">
        <v>28</v>
      </c>
    </row>
    <row r="14" spans="1:15" ht="30">
      <c r="A14" s="1" t="s">
        <v>48</v>
      </c>
      <c r="B14" s="8">
        <v>46035</v>
      </c>
      <c r="C14" s="9">
        <v>0.4375</v>
      </c>
      <c r="D14" s="9">
        <v>0.48958333333333331</v>
      </c>
      <c r="E14" s="10">
        <f t="shared" ref="E14" si="6">D14-C14</f>
        <v>5.2083333333333315E-2</v>
      </c>
      <c r="F14" s="10">
        <v>0</v>
      </c>
      <c r="G14" s="1" t="s">
        <v>49</v>
      </c>
      <c r="H14" s="1" t="s">
        <v>50</v>
      </c>
      <c r="I14" s="11" t="s">
        <v>52</v>
      </c>
      <c r="J14" s="11">
        <v>1</v>
      </c>
      <c r="K14" s="3" t="s">
        <v>29</v>
      </c>
      <c r="L14" s="3" t="s">
        <v>19</v>
      </c>
      <c r="M14" s="6" t="s">
        <v>51</v>
      </c>
      <c r="N14" s="22">
        <v>5</v>
      </c>
      <c r="O14" s="20" t="s">
        <v>30</v>
      </c>
    </row>
    <row r="15" spans="1:15" ht="30">
      <c r="A15" s="1" t="s">
        <v>53</v>
      </c>
      <c r="B15" s="8">
        <v>46036</v>
      </c>
      <c r="C15" s="9">
        <v>0.35416666666666669</v>
      </c>
      <c r="D15" s="9">
        <v>0.39583333333333331</v>
      </c>
      <c r="E15" s="10">
        <f t="shared" si="3"/>
        <v>4.166666666666663E-2</v>
      </c>
      <c r="F15" s="10">
        <v>0</v>
      </c>
      <c r="G15" s="1" t="s">
        <v>54</v>
      </c>
      <c r="H15" s="1" t="s">
        <v>55</v>
      </c>
      <c r="I15" s="11" t="s">
        <v>33</v>
      </c>
      <c r="J15" s="11">
        <v>1</v>
      </c>
      <c r="K15" s="3" t="s">
        <v>56</v>
      </c>
      <c r="L15" s="3" t="s">
        <v>19</v>
      </c>
      <c r="M15" s="6" t="s">
        <v>57</v>
      </c>
      <c r="N15" s="22">
        <v>18</v>
      </c>
      <c r="O15" s="20" t="s">
        <v>21</v>
      </c>
    </row>
    <row r="16" spans="1:15" ht="30">
      <c r="A16" s="1" t="s">
        <v>53</v>
      </c>
      <c r="B16" s="8">
        <v>46036</v>
      </c>
      <c r="C16" s="9">
        <v>0.35416666666666669</v>
      </c>
      <c r="D16" s="9">
        <v>0.39583333333333331</v>
      </c>
      <c r="E16" s="10">
        <f t="shared" ref="E16" si="7">D16-C16</f>
        <v>4.166666666666663E-2</v>
      </c>
      <c r="F16" s="10">
        <v>0</v>
      </c>
      <c r="G16" s="1" t="s">
        <v>54</v>
      </c>
      <c r="H16" s="1" t="s">
        <v>55</v>
      </c>
      <c r="I16" s="11" t="s">
        <v>33</v>
      </c>
      <c r="J16" s="11">
        <v>1</v>
      </c>
      <c r="K16" s="3" t="s">
        <v>58</v>
      </c>
      <c r="L16" s="3" t="s">
        <v>19</v>
      </c>
      <c r="M16" s="6" t="s">
        <v>57</v>
      </c>
      <c r="N16" s="22">
        <v>18</v>
      </c>
      <c r="O16" s="20" t="s">
        <v>44</v>
      </c>
    </row>
    <row r="17" spans="1:15" ht="30">
      <c r="A17" s="1" t="s">
        <v>53</v>
      </c>
      <c r="B17" s="8">
        <v>46036</v>
      </c>
      <c r="C17" s="9">
        <v>0.35416666666666669</v>
      </c>
      <c r="D17" s="9">
        <v>0.39583333333333331</v>
      </c>
      <c r="E17" s="10">
        <f t="shared" si="3"/>
        <v>4.166666666666663E-2</v>
      </c>
      <c r="F17" s="10">
        <v>0</v>
      </c>
      <c r="G17" s="1" t="s">
        <v>54</v>
      </c>
      <c r="H17" s="1" t="s">
        <v>59</v>
      </c>
      <c r="I17" s="11" t="s">
        <v>25</v>
      </c>
      <c r="J17" s="11">
        <v>1</v>
      </c>
      <c r="K17" s="3"/>
      <c r="L17" s="3" t="s">
        <v>19</v>
      </c>
      <c r="M17" s="6" t="s">
        <v>57</v>
      </c>
      <c r="N17" s="22">
        <v>27</v>
      </c>
      <c r="O17" s="20" t="s">
        <v>28</v>
      </c>
    </row>
    <row r="18" spans="1:15" ht="30">
      <c r="A18" s="1" t="s">
        <v>53</v>
      </c>
      <c r="B18" s="8">
        <v>46036</v>
      </c>
      <c r="C18" s="9">
        <v>0.35416666666666669</v>
      </c>
      <c r="D18" s="9">
        <v>0.40625</v>
      </c>
      <c r="E18" s="10">
        <f t="shared" ref="E18" si="8">D18-C18</f>
        <v>5.2083333333333315E-2</v>
      </c>
      <c r="F18" s="10">
        <v>0</v>
      </c>
      <c r="G18" s="1" t="s">
        <v>54</v>
      </c>
      <c r="H18" s="1" t="s">
        <v>59</v>
      </c>
      <c r="I18" s="11" t="s">
        <v>52</v>
      </c>
      <c r="J18" s="11">
        <v>4</v>
      </c>
      <c r="K18" s="3" t="s">
        <v>29</v>
      </c>
      <c r="L18" s="3" t="s">
        <v>19</v>
      </c>
      <c r="M18" s="6" t="s">
        <v>57</v>
      </c>
      <c r="N18" s="22">
        <v>4</v>
      </c>
      <c r="O18" s="20" t="s">
        <v>30</v>
      </c>
    </row>
    <row r="19" spans="1:15" ht="30">
      <c r="A19" s="1" t="s">
        <v>53</v>
      </c>
      <c r="B19" s="8">
        <v>46036</v>
      </c>
      <c r="C19" s="9">
        <v>0.54166666666666663</v>
      </c>
      <c r="D19" s="9">
        <v>0.58333333333333337</v>
      </c>
      <c r="E19" s="10">
        <f t="shared" si="3"/>
        <v>4.1666666666666741E-2</v>
      </c>
      <c r="F19" s="10">
        <v>0</v>
      </c>
      <c r="G19" s="1" t="s">
        <v>60</v>
      </c>
      <c r="H19" s="1" t="s">
        <v>61</v>
      </c>
      <c r="I19" s="11" t="s">
        <v>25</v>
      </c>
      <c r="J19" s="11">
        <v>3</v>
      </c>
      <c r="K19" s="3"/>
      <c r="L19" s="3" t="s">
        <v>19</v>
      </c>
      <c r="M19" s="3" t="s">
        <v>62</v>
      </c>
      <c r="N19" s="22">
        <v>22</v>
      </c>
      <c r="O19" s="20" t="s">
        <v>21</v>
      </c>
    </row>
    <row r="20" spans="1:15" ht="30">
      <c r="A20" s="1" t="s">
        <v>22</v>
      </c>
      <c r="B20" s="8">
        <v>46037</v>
      </c>
      <c r="C20" s="9">
        <v>0.41666666666666669</v>
      </c>
      <c r="D20" s="9">
        <v>0.46875</v>
      </c>
      <c r="E20" s="10">
        <f t="shared" si="3"/>
        <v>5.2083333333333315E-2</v>
      </c>
      <c r="F20" s="10">
        <v>0</v>
      </c>
      <c r="G20" s="1" t="s">
        <v>63</v>
      </c>
      <c r="H20" s="1" t="s">
        <v>64</v>
      </c>
      <c r="I20" s="11" t="s">
        <v>33</v>
      </c>
      <c r="J20" s="11">
        <v>5</v>
      </c>
      <c r="K20" s="3" t="s">
        <v>65</v>
      </c>
      <c r="L20" s="3" t="s">
        <v>66</v>
      </c>
      <c r="M20" s="6" t="s">
        <v>67</v>
      </c>
      <c r="N20" s="22">
        <v>25</v>
      </c>
      <c r="O20" s="20" t="s">
        <v>28</v>
      </c>
    </row>
    <row r="21" spans="1:15">
      <c r="A21" s="1" t="s">
        <v>15</v>
      </c>
      <c r="B21" s="8">
        <v>46038</v>
      </c>
      <c r="C21" s="9">
        <v>0.35416666666666669</v>
      </c>
      <c r="D21" s="9">
        <v>0.41666666666666669</v>
      </c>
      <c r="E21" s="10">
        <f t="shared" ref="E21:E31" si="9">D21-C21</f>
        <v>6.25E-2</v>
      </c>
      <c r="F21" s="10">
        <v>0</v>
      </c>
      <c r="G21" s="1" t="s">
        <v>68</v>
      </c>
      <c r="H21" s="1" t="s">
        <v>69</v>
      </c>
      <c r="I21" s="11" t="s">
        <v>25</v>
      </c>
      <c r="J21" s="11">
        <v>5</v>
      </c>
      <c r="K21" s="3"/>
      <c r="L21" s="3" t="s">
        <v>19</v>
      </c>
      <c r="M21" s="3" t="s">
        <v>70</v>
      </c>
      <c r="N21" s="22">
        <v>21</v>
      </c>
      <c r="O21" s="20" t="s">
        <v>21</v>
      </c>
    </row>
    <row r="22" spans="1:15">
      <c r="A22" s="1" t="s">
        <v>15</v>
      </c>
      <c r="B22" s="8">
        <v>46038</v>
      </c>
      <c r="C22" s="9">
        <v>0.47916666666666669</v>
      </c>
      <c r="D22" s="9">
        <v>0.53125</v>
      </c>
      <c r="E22" s="10">
        <f t="shared" si="9"/>
        <v>5.2083333333333315E-2</v>
      </c>
      <c r="F22" s="10">
        <v>0</v>
      </c>
      <c r="G22" s="1" t="s">
        <v>71</v>
      </c>
      <c r="H22" s="1" t="s">
        <v>32</v>
      </c>
      <c r="I22" s="11" t="s">
        <v>33</v>
      </c>
      <c r="J22" s="11">
        <v>1</v>
      </c>
      <c r="K22" s="3" t="s">
        <v>56</v>
      </c>
      <c r="L22" s="3" t="s">
        <v>19</v>
      </c>
      <c r="M22" s="6" t="s">
        <v>67</v>
      </c>
      <c r="N22" s="22">
        <v>20</v>
      </c>
      <c r="O22" s="20" t="s">
        <v>72</v>
      </c>
    </row>
    <row r="23" spans="1:15">
      <c r="A23" s="1" t="s">
        <v>15</v>
      </c>
      <c r="B23" s="8">
        <v>46038</v>
      </c>
      <c r="C23" s="9">
        <v>0.47916666666666669</v>
      </c>
      <c r="D23" s="9">
        <v>0.53125</v>
      </c>
      <c r="E23" s="10">
        <f t="shared" ref="E23" si="10">D23-C23</f>
        <v>5.2083333333333315E-2</v>
      </c>
      <c r="F23" s="10">
        <v>0</v>
      </c>
      <c r="G23" s="1" t="s">
        <v>71</v>
      </c>
      <c r="H23" s="1" t="s">
        <v>32</v>
      </c>
      <c r="I23" s="11" t="s">
        <v>33</v>
      </c>
      <c r="J23" s="11">
        <v>1</v>
      </c>
      <c r="K23" s="3" t="s">
        <v>58</v>
      </c>
      <c r="L23" s="3" t="s">
        <v>19</v>
      </c>
      <c r="M23" s="6" t="s">
        <v>67</v>
      </c>
      <c r="N23" s="22">
        <v>19</v>
      </c>
      <c r="O23" s="20" t="s">
        <v>73</v>
      </c>
    </row>
    <row r="24" spans="1:15">
      <c r="A24" s="1" t="s">
        <v>15</v>
      </c>
      <c r="B24" s="8">
        <v>46038</v>
      </c>
      <c r="C24" s="9">
        <v>0.47916666666666669</v>
      </c>
      <c r="D24" s="9">
        <v>0.53125</v>
      </c>
      <c r="E24" s="10">
        <f t="shared" si="9"/>
        <v>5.2083333333333315E-2</v>
      </c>
      <c r="F24" s="10">
        <v>0</v>
      </c>
      <c r="G24" s="1" t="s">
        <v>71</v>
      </c>
      <c r="H24" s="1" t="s">
        <v>32</v>
      </c>
      <c r="I24" s="11" t="s">
        <v>25</v>
      </c>
      <c r="J24" s="11">
        <v>1</v>
      </c>
      <c r="K24" s="3"/>
      <c r="L24" s="3" t="s">
        <v>19</v>
      </c>
      <c r="M24" s="6" t="s">
        <v>67</v>
      </c>
      <c r="N24" s="22">
        <v>27</v>
      </c>
      <c r="O24" s="20" t="s">
        <v>74</v>
      </c>
    </row>
    <row r="25" spans="1:15">
      <c r="A25" s="1" t="s">
        <v>15</v>
      </c>
      <c r="B25" s="8">
        <v>46038</v>
      </c>
      <c r="C25" s="9">
        <v>0.47916666666666669</v>
      </c>
      <c r="D25" s="9">
        <v>0.54513888888888884</v>
      </c>
      <c r="E25" s="10">
        <f t="shared" ref="E25" si="11">D25-C25</f>
        <v>6.5972222222222154E-2</v>
      </c>
      <c r="F25" s="10">
        <v>0</v>
      </c>
      <c r="G25" s="1" t="s">
        <v>71</v>
      </c>
      <c r="H25" s="1" t="s">
        <v>32</v>
      </c>
      <c r="I25" s="11" t="s">
        <v>33</v>
      </c>
      <c r="J25" s="11">
        <v>1</v>
      </c>
      <c r="K25" s="3" t="s">
        <v>29</v>
      </c>
      <c r="L25" s="3" t="s">
        <v>19</v>
      </c>
      <c r="M25" s="6" t="s">
        <v>67</v>
      </c>
      <c r="N25" s="22">
        <v>5</v>
      </c>
      <c r="O25" s="20" t="s">
        <v>75</v>
      </c>
    </row>
    <row r="26" spans="1:15" ht="30">
      <c r="A26" s="1" t="s">
        <v>38</v>
      </c>
      <c r="B26" s="8">
        <v>46041</v>
      </c>
      <c r="C26" s="9">
        <v>0.375</v>
      </c>
      <c r="D26" s="9">
        <v>0.4375</v>
      </c>
      <c r="E26" s="10">
        <f t="shared" si="9"/>
        <v>6.25E-2</v>
      </c>
      <c r="F26" s="10">
        <v>0</v>
      </c>
      <c r="G26" s="1" t="s">
        <v>76</v>
      </c>
      <c r="H26" s="1" t="s">
        <v>77</v>
      </c>
      <c r="I26" s="11" t="s">
        <v>78</v>
      </c>
      <c r="J26" s="11"/>
      <c r="K26" s="3" t="s">
        <v>41</v>
      </c>
      <c r="L26" s="3" t="s">
        <v>66</v>
      </c>
      <c r="M26" s="3" t="s">
        <v>79</v>
      </c>
      <c r="N26" s="22">
        <v>23</v>
      </c>
      <c r="O26" s="20" t="s">
        <v>37</v>
      </c>
    </row>
    <row r="27" spans="1:15" ht="30">
      <c r="A27" s="1" t="s">
        <v>38</v>
      </c>
      <c r="B27" s="8">
        <v>46041</v>
      </c>
      <c r="C27" s="9">
        <v>0.375</v>
      </c>
      <c r="D27" s="9">
        <v>0.4375</v>
      </c>
      <c r="E27" s="10">
        <f t="shared" ref="E27" si="12">D27-C27</f>
        <v>6.25E-2</v>
      </c>
      <c r="F27" s="10">
        <v>0</v>
      </c>
      <c r="G27" s="1" t="s">
        <v>76</v>
      </c>
      <c r="H27" s="1" t="s">
        <v>77</v>
      </c>
      <c r="I27" s="11" t="s">
        <v>78</v>
      </c>
      <c r="J27" s="11"/>
      <c r="K27" s="3" t="s">
        <v>43</v>
      </c>
      <c r="L27" s="3" t="s">
        <v>66</v>
      </c>
      <c r="M27" s="3" t="s">
        <v>79</v>
      </c>
      <c r="N27" s="22">
        <v>23</v>
      </c>
      <c r="O27" s="20" t="s">
        <v>28</v>
      </c>
    </row>
    <row r="28" spans="1:15" ht="30">
      <c r="A28" s="1" t="s">
        <v>38</v>
      </c>
      <c r="B28" s="8">
        <v>46041</v>
      </c>
      <c r="C28" s="9">
        <v>0.375</v>
      </c>
      <c r="D28" s="9">
        <v>0.4548611111111111</v>
      </c>
      <c r="E28" s="10">
        <f t="shared" ref="E28" si="13">D28-C28</f>
        <v>7.9861111111111105E-2</v>
      </c>
      <c r="F28" s="10">
        <v>0</v>
      </c>
      <c r="G28" s="1" t="s">
        <v>76</v>
      </c>
      <c r="H28" s="1" t="s">
        <v>77</v>
      </c>
      <c r="I28" s="11" t="s">
        <v>78</v>
      </c>
      <c r="J28" s="11"/>
      <c r="K28" s="3" t="s">
        <v>29</v>
      </c>
      <c r="L28" s="3" t="s">
        <v>66</v>
      </c>
      <c r="M28" s="3" t="s">
        <v>79</v>
      </c>
      <c r="N28" s="22">
        <v>1</v>
      </c>
      <c r="O28" s="20" t="s">
        <v>75</v>
      </c>
    </row>
    <row r="29" spans="1:15" ht="30">
      <c r="A29" s="1" t="s">
        <v>38</v>
      </c>
      <c r="B29" s="8">
        <v>46041</v>
      </c>
      <c r="C29" s="9">
        <v>0.5625</v>
      </c>
      <c r="D29" s="9">
        <v>0.625</v>
      </c>
      <c r="E29" s="10">
        <f t="shared" si="9"/>
        <v>6.25E-2</v>
      </c>
      <c r="F29" s="10">
        <v>0</v>
      </c>
      <c r="G29" s="1" t="s">
        <v>80</v>
      </c>
      <c r="H29" s="1" t="s">
        <v>81</v>
      </c>
      <c r="I29" s="11" t="s">
        <v>25</v>
      </c>
      <c r="J29" s="11">
        <v>5</v>
      </c>
      <c r="K29" s="3"/>
      <c r="L29" s="3" t="s">
        <v>26</v>
      </c>
      <c r="M29" s="6" t="s">
        <v>82</v>
      </c>
      <c r="N29" s="22">
        <v>22</v>
      </c>
      <c r="O29" s="20" t="s">
        <v>21</v>
      </c>
    </row>
    <row r="30" spans="1:15" ht="55.5" customHeight="1">
      <c r="A30" s="1" t="s">
        <v>48</v>
      </c>
      <c r="B30" s="8">
        <v>46042</v>
      </c>
      <c r="C30" s="9">
        <v>0.5625</v>
      </c>
      <c r="D30" s="9">
        <v>0.60416666666666663</v>
      </c>
      <c r="E30" s="10">
        <f t="shared" si="9"/>
        <v>4.166666666666663E-2</v>
      </c>
      <c r="F30" s="10">
        <v>0</v>
      </c>
      <c r="G30" s="1" t="s">
        <v>83</v>
      </c>
      <c r="H30" s="1" t="s">
        <v>84</v>
      </c>
      <c r="I30" s="11" t="s">
        <v>33</v>
      </c>
      <c r="J30" s="11">
        <v>3</v>
      </c>
      <c r="K30" s="3"/>
      <c r="L30" s="3" t="s">
        <v>19</v>
      </c>
      <c r="M30" s="6" t="s">
        <v>85</v>
      </c>
      <c r="N30" s="22">
        <v>28</v>
      </c>
      <c r="O30" s="20" t="s">
        <v>28</v>
      </c>
    </row>
    <row r="31" spans="1:15" ht="30">
      <c r="A31" s="1" t="s">
        <v>53</v>
      </c>
      <c r="B31" s="8">
        <v>46043</v>
      </c>
      <c r="C31" s="9">
        <v>0.5625</v>
      </c>
      <c r="D31" s="9">
        <v>0.625</v>
      </c>
      <c r="E31" s="10">
        <f t="shared" si="9"/>
        <v>6.25E-2</v>
      </c>
      <c r="F31" s="10">
        <v>0</v>
      </c>
      <c r="G31" s="1" t="s">
        <v>86</v>
      </c>
      <c r="H31" s="1" t="s">
        <v>87</v>
      </c>
      <c r="I31" s="11" t="s">
        <v>52</v>
      </c>
      <c r="J31" s="12" t="s">
        <v>88</v>
      </c>
      <c r="K31" s="3" t="s">
        <v>41</v>
      </c>
      <c r="L31" s="3" t="s">
        <v>26</v>
      </c>
      <c r="M31" s="6" t="s">
        <v>67</v>
      </c>
      <c r="N31" s="22">
        <v>29</v>
      </c>
      <c r="O31" s="20" t="s">
        <v>37</v>
      </c>
    </row>
    <row r="32" spans="1:15" ht="30">
      <c r="A32" s="1" t="s">
        <v>53</v>
      </c>
      <c r="B32" s="8">
        <v>46043</v>
      </c>
      <c r="C32" s="9">
        <v>0.5625</v>
      </c>
      <c r="D32" s="9">
        <v>0.625</v>
      </c>
      <c r="E32" s="10">
        <f t="shared" ref="E32" si="14">D32-C32</f>
        <v>6.25E-2</v>
      </c>
      <c r="F32" s="10">
        <v>0</v>
      </c>
      <c r="G32" s="1" t="s">
        <v>86</v>
      </c>
      <c r="H32" s="1" t="s">
        <v>87</v>
      </c>
      <c r="I32" s="11" t="s">
        <v>52</v>
      </c>
      <c r="J32" s="12" t="s">
        <v>88</v>
      </c>
      <c r="K32" s="3" t="s">
        <v>43</v>
      </c>
      <c r="L32" s="3" t="s">
        <v>26</v>
      </c>
      <c r="M32" s="6" t="s">
        <v>67</v>
      </c>
      <c r="N32" s="22">
        <v>29</v>
      </c>
      <c r="O32" s="20" t="s">
        <v>28</v>
      </c>
    </row>
    <row r="33" spans="1:15" ht="45">
      <c r="A33" s="1" t="s">
        <v>15</v>
      </c>
      <c r="B33" s="8">
        <v>46045</v>
      </c>
      <c r="C33" s="9">
        <v>0.5625</v>
      </c>
      <c r="D33" s="9">
        <v>0.60416666666666663</v>
      </c>
      <c r="E33" s="10">
        <f t="shared" ref="E33:E37" si="15">D33-C33</f>
        <v>4.166666666666663E-2</v>
      </c>
      <c r="F33" s="10">
        <v>0</v>
      </c>
      <c r="G33" s="1" t="s">
        <v>89</v>
      </c>
      <c r="H33" s="1" t="s">
        <v>90</v>
      </c>
      <c r="I33" s="11" t="s">
        <v>33</v>
      </c>
      <c r="J33" s="11">
        <v>1</v>
      </c>
      <c r="K33" s="3" t="s">
        <v>91</v>
      </c>
      <c r="L33" s="3" t="s">
        <v>66</v>
      </c>
      <c r="M33" s="6" t="s">
        <v>67</v>
      </c>
      <c r="N33" s="22">
        <v>21</v>
      </c>
      <c r="O33" s="20" t="s">
        <v>21</v>
      </c>
    </row>
    <row r="34" spans="1:15" ht="45">
      <c r="A34" s="1" t="s">
        <v>15</v>
      </c>
      <c r="B34" s="8">
        <v>46045</v>
      </c>
      <c r="C34" s="9">
        <v>0.5625</v>
      </c>
      <c r="D34" s="9">
        <v>0.60416666666666663</v>
      </c>
      <c r="E34" s="10">
        <f t="shared" ref="E34" si="16">D34-C34</f>
        <v>4.166666666666663E-2</v>
      </c>
      <c r="F34" s="10">
        <v>0</v>
      </c>
      <c r="G34" s="1" t="s">
        <v>89</v>
      </c>
      <c r="H34" s="1" t="s">
        <v>90</v>
      </c>
      <c r="I34" s="11" t="s">
        <v>33</v>
      </c>
      <c r="J34" s="11">
        <v>1</v>
      </c>
      <c r="K34" s="3" t="s">
        <v>92</v>
      </c>
      <c r="L34" s="3" t="s">
        <v>66</v>
      </c>
      <c r="M34" s="6" t="s">
        <v>67</v>
      </c>
      <c r="N34" s="22">
        <v>20</v>
      </c>
      <c r="O34" s="20" t="s">
        <v>44</v>
      </c>
    </row>
    <row r="35" spans="1:15" ht="30">
      <c r="A35" s="1" t="s">
        <v>15</v>
      </c>
      <c r="B35" s="8">
        <v>46045</v>
      </c>
      <c r="C35" s="9">
        <v>0.5625</v>
      </c>
      <c r="D35" s="9">
        <v>0.60416666666666663</v>
      </c>
      <c r="E35" s="10">
        <f t="shared" si="15"/>
        <v>4.166666666666663E-2</v>
      </c>
      <c r="F35" s="10">
        <v>0</v>
      </c>
      <c r="G35" s="1" t="s">
        <v>89</v>
      </c>
      <c r="H35" s="1" t="s">
        <v>93</v>
      </c>
      <c r="I35" s="11" t="s">
        <v>25</v>
      </c>
      <c r="J35" s="11">
        <v>1</v>
      </c>
      <c r="K35" s="3" t="s">
        <v>94</v>
      </c>
      <c r="L35" s="3" t="s">
        <v>66</v>
      </c>
      <c r="M35" s="6" t="s">
        <v>67</v>
      </c>
      <c r="N35" s="22">
        <v>29</v>
      </c>
      <c r="O35" s="20" t="s">
        <v>37</v>
      </c>
    </row>
    <row r="36" spans="1:15" ht="30">
      <c r="A36" s="1" t="s">
        <v>15</v>
      </c>
      <c r="B36" s="8">
        <v>46045</v>
      </c>
      <c r="C36" s="9">
        <v>0.5625</v>
      </c>
      <c r="D36" s="9">
        <v>0.61458333333333337</v>
      </c>
      <c r="E36" s="10">
        <f t="shared" ref="E36" si="17">D36-C36</f>
        <v>5.208333333333337E-2</v>
      </c>
      <c r="F36" s="10">
        <v>0</v>
      </c>
      <c r="G36" s="1" t="s">
        <v>89</v>
      </c>
      <c r="H36" s="1" t="s">
        <v>93</v>
      </c>
      <c r="I36" s="11" t="s">
        <v>25</v>
      </c>
      <c r="J36" s="11">
        <v>1</v>
      </c>
      <c r="K36" s="3" t="s">
        <v>95</v>
      </c>
      <c r="L36" s="3" t="s">
        <v>66</v>
      </c>
      <c r="M36" s="6" t="s">
        <v>67</v>
      </c>
      <c r="N36" s="22">
        <v>5</v>
      </c>
      <c r="O36" s="20" t="s">
        <v>30</v>
      </c>
    </row>
    <row r="37" spans="1:15" ht="30">
      <c r="A37" s="1" t="s">
        <v>15</v>
      </c>
      <c r="B37" s="8">
        <v>46045</v>
      </c>
      <c r="C37" s="9">
        <v>0.64583333333333337</v>
      </c>
      <c r="D37" s="9">
        <v>0.6875</v>
      </c>
      <c r="E37" s="10">
        <f t="shared" si="15"/>
        <v>4.166666666666663E-2</v>
      </c>
      <c r="F37" s="10">
        <v>0</v>
      </c>
      <c r="G37" s="1" t="s">
        <v>96</v>
      </c>
      <c r="H37" s="1" t="s">
        <v>97</v>
      </c>
      <c r="I37" s="11" t="s">
        <v>33</v>
      </c>
      <c r="J37" s="11">
        <v>3</v>
      </c>
      <c r="K37" s="3"/>
      <c r="L37" s="3" t="s">
        <v>98</v>
      </c>
      <c r="M37" s="3" t="s">
        <v>99</v>
      </c>
      <c r="N37" s="22">
        <v>24</v>
      </c>
      <c r="O37" s="20" t="s">
        <v>100</v>
      </c>
    </row>
    <row r="38" spans="1:15">
      <c r="A38" s="1" t="s">
        <v>38</v>
      </c>
      <c r="B38" s="8">
        <v>46048</v>
      </c>
      <c r="C38" s="9">
        <v>0.375</v>
      </c>
      <c r="D38" s="9">
        <v>0.42708333333333331</v>
      </c>
      <c r="E38" s="10">
        <f t="shared" ref="E38:E42" si="18">D38-C38</f>
        <v>5.2083333333333315E-2</v>
      </c>
      <c r="F38" s="10">
        <v>0</v>
      </c>
      <c r="G38" s="1" t="s">
        <v>101</v>
      </c>
      <c r="H38" s="1" t="s">
        <v>102</v>
      </c>
      <c r="I38" s="11" t="s">
        <v>33</v>
      </c>
      <c r="J38" s="11">
        <v>1</v>
      </c>
      <c r="K38" s="3" t="s">
        <v>41</v>
      </c>
      <c r="L38" s="3" t="s">
        <v>19</v>
      </c>
      <c r="M38" s="6" t="s">
        <v>67</v>
      </c>
      <c r="N38" s="22">
        <v>17</v>
      </c>
      <c r="O38" s="20" t="s">
        <v>21</v>
      </c>
    </row>
    <row r="39" spans="1:15">
      <c r="A39" s="1" t="s">
        <v>38</v>
      </c>
      <c r="B39" s="8">
        <v>46048</v>
      </c>
      <c r="C39" s="9">
        <v>0.375</v>
      </c>
      <c r="D39" s="9">
        <v>0.42708333333333331</v>
      </c>
      <c r="E39" s="10">
        <f t="shared" ref="E39" si="19">D39-C39</f>
        <v>5.2083333333333315E-2</v>
      </c>
      <c r="F39" s="10">
        <v>0</v>
      </c>
      <c r="G39" s="1" t="s">
        <v>101</v>
      </c>
      <c r="H39" s="1" t="s">
        <v>102</v>
      </c>
      <c r="I39" s="11" t="s">
        <v>33</v>
      </c>
      <c r="J39" s="11">
        <v>1</v>
      </c>
      <c r="K39" s="3" t="s">
        <v>43</v>
      </c>
      <c r="L39" s="3" t="s">
        <v>19</v>
      </c>
      <c r="M39" s="6" t="s">
        <v>67</v>
      </c>
      <c r="N39" s="22">
        <v>16</v>
      </c>
      <c r="O39" s="20" t="s">
        <v>44</v>
      </c>
    </row>
    <row r="40" spans="1:15">
      <c r="A40" s="1" t="s">
        <v>38</v>
      </c>
      <c r="B40" s="8">
        <v>46048</v>
      </c>
      <c r="C40" s="9">
        <v>0.375</v>
      </c>
      <c r="D40" s="9">
        <v>0.42708333333333331</v>
      </c>
      <c r="E40" s="10">
        <f t="shared" si="18"/>
        <v>5.2083333333333315E-2</v>
      </c>
      <c r="F40" s="10">
        <v>0</v>
      </c>
      <c r="G40" s="1" t="s">
        <v>101</v>
      </c>
      <c r="H40" s="1" t="s">
        <v>102</v>
      </c>
      <c r="I40" s="11" t="s">
        <v>25</v>
      </c>
      <c r="J40" s="11">
        <v>1</v>
      </c>
      <c r="K40" s="3"/>
      <c r="L40" s="3" t="s">
        <v>19</v>
      </c>
      <c r="M40" s="6" t="s">
        <v>67</v>
      </c>
      <c r="N40" s="22">
        <v>30</v>
      </c>
      <c r="O40" s="20" t="s">
        <v>37</v>
      </c>
    </row>
    <row r="41" spans="1:15">
      <c r="A41" s="1" t="s">
        <v>38</v>
      </c>
      <c r="B41" s="8">
        <v>46048</v>
      </c>
      <c r="C41" s="9">
        <v>0.375</v>
      </c>
      <c r="D41" s="9">
        <v>0.44097222222222221</v>
      </c>
      <c r="E41" s="10">
        <f t="shared" ref="E41" si="20">D41-C41</f>
        <v>6.597222222222221E-2</v>
      </c>
      <c r="F41" s="10">
        <v>0</v>
      </c>
      <c r="G41" s="1" t="s">
        <v>101</v>
      </c>
      <c r="H41" s="1" t="s">
        <v>102</v>
      </c>
      <c r="I41" s="11" t="s">
        <v>52</v>
      </c>
      <c r="J41" s="11">
        <v>1</v>
      </c>
      <c r="K41" s="3" t="s">
        <v>103</v>
      </c>
      <c r="L41" s="3" t="s">
        <v>19</v>
      </c>
      <c r="M41" s="6" t="s">
        <v>67</v>
      </c>
      <c r="N41" s="22">
        <v>3</v>
      </c>
      <c r="O41" s="20" t="s">
        <v>30</v>
      </c>
    </row>
    <row r="42" spans="1:15" ht="30">
      <c r="A42" s="1" t="s">
        <v>38</v>
      </c>
      <c r="B42" s="8">
        <v>46048</v>
      </c>
      <c r="C42" s="14">
        <v>0.66666666666666663</v>
      </c>
      <c r="D42" s="14">
        <v>0.70833333333333337</v>
      </c>
      <c r="E42" s="10">
        <f t="shared" si="18"/>
        <v>4.1666666666666741E-2</v>
      </c>
      <c r="F42" s="15">
        <v>0</v>
      </c>
      <c r="G42" s="4" t="s">
        <v>104</v>
      </c>
      <c r="H42" s="4" t="s">
        <v>105</v>
      </c>
      <c r="I42" s="11" t="s">
        <v>52</v>
      </c>
      <c r="J42" s="18"/>
      <c r="K42" s="19"/>
      <c r="L42" s="19" t="s">
        <v>26</v>
      </c>
      <c r="M42" s="6" t="s">
        <v>106</v>
      </c>
      <c r="N42" s="23">
        <v>3</v>
      </c>
      <c r="O42" s="20" t="s">
        <v>21</v>
      </c>
    </row>
    <row r="43" spans="1:15" ht="30">
      <c r="A43" s="4" t="s">
        <v>48</v>
      </c>
      <c r="B43" s="13">
        <v>46049</v>
      </c>
      <c r="C43" s="9">
        <v>0.41666666666666669</v>
      </c>
      <c r="D43" s="9">
        <v>0.46875</v>
      </c>
      <c r="E43" s="10">
        <f>D43-C43</f>
        <v>5.2083333333333315E-2</v>
      </c>
      <c r="F43" s="10">
        <v>0</v>
      </c>
      <c r="G43" s="1" t="s">
        <v>107</v>
      </c>
      <c r="H43" s="1" t="s">
        <v>108</v>
      </c>
      <c r="I43" s="11" t="s">
        <v>52</v>
      </c>
      <c r="J43" s="11">
        <v>5</v>
      </c>
      <c r="K43" s="3" t="s">
        <v>34</v>
      </c>
      <c r="L43" s="3" t="s">
        <v>19</v>
      </c>
      <c r="M43" s="6" t="s">
        <v>67</v>
      </c>
      <c r="N43" s="22">
        <v>25</v>
      </c>
      <c r="O43" s="20" t="s">
        <v>37</v>
      </c>
    </row>
    <row r="44" spans="1:15" ht="30">
      <c r="A44" s="4" t="s">
        <v>48</v>
      </c>
      <c r="B44" s="13">
        <v>46049</v>
      </c>
      <c r="C44" s="9">
        <v>0.41666666666666669</v>
      </c>
      <c r="D44" s="9">
        <v>0.46875</v>
      </c>
      <c r="E44" s="10">
        <f>D44-C44</f>
        <v>5.2083333333333315E-2</v>
      </c>
      <c r="F44" s="10">
        <v>0</v>
      </c>
      <c r="G44" s="1" t="s">
        <v>107</v>
      </c>
      <c r="H44" s="1" t="s">
        <v>108</v>
      </c>
      <c r="I44" s="11" t="s">
        <v>52</v>
      </c>
      <c r="J44" s="11">
        <v>5</v>
      </c>
      <c r="K44" s="3" t="s">
        <v>36</v>
      </c>
      <c r="L44" s="3" t="s">
        <v>19</v>
      </c>
      <c r="M44" s="6" t="s">
        <v>67</v>
      </c>
      <c r="N44" s="22">
        <v>26</v>
      </c>
      <c r="O44" s="20" t="s">
        <v>28</v>
      </c>
    </row>
    <row r="45" spans="1:15" ht="30">
      <c r="A45" s="4" t="s">
        <v>48</v>
      </c>
      <c r="B45" s="13">
        <v>46049</v>
      </c>
      <c r="C45" s="9">
        <v>0.41666666666666669</v>
      </c>
      <c r="D45" s="9">
        <v>0.4826388888888889</v>
      </c>
      <c r="E45" s="10">
        <f>D45-C45</f>
        <v>6.597222222222221E-2</v>
      </c>
      <c r="F45" s="10">
        <v>0</v>
      </c>
      <c r="G45" s="1" t="s">
        <v>107</v>
      </c>
      <c r="H45" s="1" t="s">
        <v>108</v>
      </c>
      <c r="I45" s="11" t="s">
        <v>52</v>
      </c>
      <c r="J45" s="11">
        <v>5</v>
      </c>
      <c r="K45" s="3" t="s">
        <v>29</v>
      </c>
      <c r="L45" s="3" t="s">
        <v>19</v>
      </c>
      <c r="M45" s="6" t="s">
        <v>67</v>
      </c>
      <c r="N45" s="22">
        <v>1</v>
      </c>
      <c r="O45" s="20" t="s">
        <v>30</v>
      </c>
    </row>
    <row r="46" spans="1:15">
      <c r="A46" s="1" t="s">
        <v>53</v>
      </c>
      <c r="B46" s="8">
        <v>46050</v>
      </c>
      <c r="C46" s="9">
        <v>0.4375</v>
      </c>
      <c r="D46" s="9">
        <v>0.5</v>
      </c>
      <c r="E46" s="10">
        <f t="shared" ref="E46" si="21">D46-C46</f>
        <v>6.25E-2</v>
      </c>
      <c r="F46" s="10">
        <v>0</v>
      </c>
      <c r="G46" s="1" t="s">
        <v>109</v>
      </c>
      <c r="H46" s="1" t="s">
        <v>110</v>
      </c>
      <c r="I46" s="11" t="s">
        <v>78</v>
      </c>
      <c r="J46" s="11"/>
      <c r="K46" s="3"/>
      <c r="L46" s="3" t="s">
        <v>19</v>
      </c>
      <c r="M46" s="6"/>
      <c r="N46" s="22">
        <v>3</v>
      </c>
      <c r="O46" s="20" t="s">
        <v>30</v>
      </c>
    </row>
    <row r="47" spans="1:15">
      <c r="A47" s="1" t="s">
        <v>53</v>
      </c>
      <c r="B47" s="8">
        <v>46078</v>
      </c>
      <c r="C47" s="9">
        <v>0.35416666666666669</v>
      </c>
      <c r="D47" s="9">
        <v>0.70833333333333337</v>
      </c>
      <c r="E47" s="10">
        <f t="shared" ref="E47:E52" si="22">D47-C47</f>
        <v>0.35416666666666669</v>
      </c>
      <c r="F47" s="10"/>
      <c r="G47" s="1" t="s">
        <v>111</v>
      </c>
      <c r="H47" s="1"/>
      <c r="I47" s="11" t="s">
        <v>112</v>
      </c>
      <c r="J47" s="11"/>
      <c r="K47" s="3"/>
      <c r="L47" s="3"/>
      <c r="M47" s="3" t="s">
        <v>113</v>
      </c>
      <c r="N47" s="22"/>
      <c r="O47" s="20" t="s">
        <v>114</v>
      </c>
    </row>
    <row r="48" spans="1:15">
      <c r="A48" s="1" t="s">
        <v>53</v>
      </c>
      <c r="B48" s="8">
        <v>46078</v>
      </c>
      <c r="C48" s="9">
        <v>0.35416666666666669</v>
      </c>
      <c r="D48" s="9">
        <v>0.70833333333333337</v>
      </c>
      <c r="E48" s="10">
        <f t="shared" si="22"/>
        <v>0.35416666666666669</v>
      </c>
      <c r="F48" s="10"/>
      <c r="G48" s="1" t="s">
        <v>111</v>
      </c>
      <c r="H48" s="1"/>
      <c r="I48" s="11" t="s">
        <v>112</v>
      </c>
      <c r="J48" s="11"/>
      <c r="K48" s="3"/>
      <c r="L48" s="3"/>
      <c r="M48" s="3" t="s">
        <v>113</v>
      </c>
      <c r="N48" s="22"/>
      <c r="O48" s="20" t="s">
        <v>114</v>
      </c>
    </row>
    <row r="49" spans="1:15">
      <c r="A49" s="1" t="s">
        <v>53</v>
      </c>
      <c r="B49" s="8">
        <v>46078</v>
      </c>
      <c r="C49" s="9">
        <v>0.35416666666666669</v>
      </c>
      <c r="D49" s="9">
        <v>0.70833333333333337</v>
      </c>
      <c r="E49" s="10">
        <f t="shared" si="22"/>
        <v>0.35416666666666669</v>
      </c>
      <c r="F49" s="10"/>
      <c r="G49" s="1" t="s">
        <v>111</v>
      </c>
      <c r="H49" s="1"/>
      <c r="I49" s="11" t="s">
        <v>112</v>
      </c>
      <c r="J49" s="11"/>
      <c r="K49" s="3"/>
      <c r="L49" s="3"/>
      <c r="M49" s="3" t="s">
        <v>113</v>
      </c>
      <c r="N49" s="22"/>
      <c r="O49" s="20" t="s">
        <v>114</v>
      </c>
    </row>
    <row r="50" spans="1:15" ht="30">
      <c r="A50" s="1" t="s">
        <v>22</v>
      </c>
      <c r="B50" s="8">
        <v>46079</v>
      </c>
      <c r="C50" s="9">
        <v>0.35416666666666669</v>
      </c>
      <c r="D50" s="9">
        <v>0.70833333333333337</v>
      </c>
      <c r="E50" s="10">
        <f t="shared" si="22"/>
        <v>0.35416666666666669</v>
      </c>
      <c r="F50" s="10"/>
      <c r="G50" s="1" t="s">
        <v>115</v>
      </c>
      <c r="H50" s="1"/>
      <c r="I50" s="11" t="s">
        <v>112</v>
      </c>
      <c r="J50" s="11"/>
      <c r="K50" s="3"/>
      <c r="L50" s="3"/>
      <c r="M50" s="3" t="s">
        <v>113</v>
      </c>
      <c r="N50" s="22"/>
      <c r="O50" s="20" t="s">
        <v>114</v>
      </c>
    </row>
    <row r="51" spans="1:15" ht="30">
      <c r="A51" s="1" t="s">
        <v>22</v>
      </c>
      <c r="B51" s="8">
        <v>46079</v>
      </c>
      <c r="C51" s="9">
        <v>0.35416666666666669</v>
      </c>
      <c r="D51" s="9">
        <v>0.70833333333333337</v>
      </c>
      <c r="E51" s="10">
        <f t="shared" si="22"/>
        <v>0.35416666666666669</v>
      </c>
      <c r="F51" s="10"/>
      <c r="G51" s="1" t="s">
        <v>115</v>
      </c>
      <c r="H51" s="1"/>
      <c r="I51" s="11" t="s">
        <v>112</v>
      </c>
      <c r="J51" s="11"/>
      <c r="K51" s="3"/>
      <c r="L51" s="3"/>
      <c r="M51" s="3" t="s">
        <v>113</v>
      </c>
      <c r="N51" s="22"/>
      <c r="O51" s="20" t="s">
        <v>114</v>
      </c>
    </row>
    <row r="52" spans="1:15" ht="30">
      <c r="A52" s="1" t="s">
        <v>22</v>
      </c>
      <c r="B52" s="8">
        <v>46079</v>
      </c>
      <c r="C52" s="9">
        <v>0.35416666666666669</v>
      </c>
      <c r="D52" s="9">
        <v>0.70833333333333337</v>
      </c>
      <c r="E52" s="10">
        <f t="shared" si="22"/>
        <v>0.35416666666666669</v>
      </c>
      <c r="F52" s="10"/>
      <c r="G52" s="1" t="s">
        <v>115</v>
      </c>
      <c r="H52" s="1"/>
      <c r="I52" s="11" t="s">
        <v>112</v>
      </c>
      <c r="J52" s="11"/>
      <c r="K52" s="3"/>
      <c r="L52" s="3"/>
      <c r="M52" s="3" t="s">
        <v>113</v>
      </c>
      <c r="N52" s="22"/>
      <c r="O52" s="20" t="s">
        <v>114</v>
      </c>
    </row>
  </sheetData>
  <autoFilter ref="A1:O52" xr:uid="{F04541E2-8F03-4200-A015-DBFDB9A7FB7A}"/>
  <sortState xmlns:xlrd2="http://schemas.microsoft.com/office/spreadsheetml/2017/richdata2" ref="A2:O52">
    <sortCondition ref="B2:B52"/>
    <sortCondition ref="C2:C52"/>
    <sortCondition ref="D2:D52"/>
  </sortState>
  <phoneticPr fontId="2" type="noConversion"/>
  <conditionalFormatting sqref="F47:N47 O47:O50 A47:E52 F48:L48 M48:N50 L49:L50 F49:K52 L51:O52 A2:O46">
    <cfRule type="expression" dxfId="47" priority="253">
      <formula>$A2="Sa"</formula>
    </cfRule>
    <cfRule type="expression" dxfId="46" priority="254">
      <formula>$A2="Fr"</formula>
    </cfRule>
    <cfRule type="expression" dxfId="45" priority="255">
      <formula>$A2="Do"</formula>
    </cfRule>
    <cfRule type="expression" dxfId="44" priority="256">
      <formula>$A2="Mi"</formula>
    </cfRule>
    <cfRule type="expression" dxfId="43" priority="257">
      <formula>$A2="Mo"</formula>
    </cfRule>
    <cfRule type="expression" dxfId="42" priority="258">
      <formula>$A2="Di"</formula>
    </cfRule>
  </conditionalFormatting>
  <conditionalFormatting sqref="G2">
    <cfRule type="expression" dxfId="41" priority="487">
      <formula>#REF!="Sa"</formula>
    </cfRule>
    <cfRule type="expression" dxfId="40" priority="488">
      <formula>#REF!="Fr"</formula>
    </cfRule>
    <cfRule type="expression" dxfId="39" priority="489">
      <formula>#REF!="Do"</formula>
    </cfRule>
    <cfRule type="expression" dxfId="38" priority="490">
      <formula>#REF!="Mi"</formula>
    </cfRule>
    <cfRule type="expression" dxfId="37" priority="491">
      <formula>#REF!="Mo"</formula>
    </cfRule>
    <cfRule type="expression" dxfId="36" priority="492">
      <formula>#REF!="Di"</formula>
    </cfRule>
  </conditionalFormatting>
  <conditionalFormatting sqref="G43:G45">
    <cfRule type="expression" dxfId="35" priority="1072">
      <formula>#REF!="Sa"</formula>
    </cfRule>
    <cfRule type="expression" dxfId="34" priority="1073">
      <formula>#REF!="Fr"</formula>
    </cfRule>
    <cfRule type="expression" dxfId="33" priority="1074">
      <formula>#REF!="Do"</formula>
    </cfRule>
    <cfRule type="expression" dxfId="32" priority="1075">
      <formula>#REF!="Mi"</formula>
    </cfRule>
    <cfRule type="expression" dxfId="31" priority="1076">
      <formula>#REF!="Mo"</formula>
    </cfRule>
    <cfRule type="expression" dxfId="30" priority="1077">
      <formula>#REF!="Di"</formula>
    </cfRule>
    <cfRule type="expression" dxfId="29" priority="1078">
      <formula>#REF!="Sa"</formula>
    </cfRule>
    <cfRule type="expression" dxfId="28" priority="1079">
      <formula>#REF!="Fr"</formula>
    </cfRule>
    <cfRule type="expression" dxfId="27" priority="1080">
      <formula>#REF!="Do"</formula>
    </cfRule>
    <cfRule type="expression" dxfId="26" priority="1081">
      <formula>#REF!="Mi"</formula>
    </cfRule>
    <cfRule type="expression" dxfId="25" priority="1082">
      <formula>#REF!="Mo"</formula>
    </cfRule>
    <cfRule type="expression" dxfId="24" priority="1083">
      <formula>#REF!="Di"</formula>
    </cfRule>
  </conditionalFormatting>
  <conditionalFormatting sqref="H1">
    <cfRule type="expression" dxfId="23" priority="169">
      <formula>$A1="Sa"</formula>
    </cfRule>
    <cfRule type="expression" dxfId="22" priority="170">
      <formula>$A1="Fr"</formula>
    </cfRule>
    <cfRule type="expression" dxfId="21" priority="171">
      <formula>$A1="Do"</formula>
    </cfRule>
    <cfRule type="expression" dxfId="20" priority="172">
      <formula>$A1="Mi"</formula>
    </cfRule>
    <cfRule type="expression" dxfId="19" priority="173">
      <formula>$A1="Mo"</formula>
    </cfRule>
    <cfRule type="expression" dxfId="18" priority="174">
      <formula>$A1="Di"</formula>
    </cfRule>
  </conditionalFormatting>
  <conditionalFormatting sqref="M43:M45 M3:N4">
    <cfRule type="expression" dxfId="17" priority="1157">
      <formula>#REF!="Fr"</formula>
    </cfRule>
    <cfRule type="expression" dxfId="16" priority="1158">
      <formula>#REF!="Do"</formula>
    </cfRule>
    <cfRule type="expression" dxfId="15" priority="1159">
      <formula>#REF!="Mi"</formula>
    </cfRule>
    <cfRule type="expression" dxfId="14" priority="1160">
      <formula>#REF!="Mo"</formula>
    </cfRule>
    <cfRule type="expression" dxfId="13" priority="1161">
      <formula>#REF!="Di"</formula>
    </cfRule>
    <cfRule type="expression" dxfId="12" priority="1162">
      <formula>#REF!="Sa"</formula>
    </cfRule>
  </conditionalFormatting>
  <conditionalFormatting sqref="M47">
    <cfRule type="expression" dxfId="11" priority="625">
      <formula>#REF!="Fr"</formula>
    </cfRule>
    <cfRule type="expression" dxfId="10" priority="626">
      <formula>#REF!="Do"</formula>
    </cfRule>
    <cfRule type="expression" dxfId="9" priority="627">
      <formula>#REF!="Mi"</formula>
    </cfRule>
    <cfRule type="expression" dxfId="8" priority="628">
      <formula>#REF!="Mo"</formula>
    </cfRule>
    <cfRule type="expression" dxfId="7" priority="629">
      <formula>#REF!="Di"</formula>
    </cfRule>
    <cfRule type="expression" dxfId="6" priority="630">
      <formula>#REF!="Sa"</formula>
    </cfRule>
  </conditionalFormatting>
  <conditionalFormatting sqref="M3:M4">
    <cfRule type="expression" dxfId="5" priority="1175">
      <formula>#REF!="Fr"</formula>
    </cfRule>
    <cfRule type="expression" dxfId="4" priority="1176">
      <formula>#REF!="Do"</formula>
    </cfRule>
    <cfRule type="expression" dxfId="3" priority="1177">
      <formula>#REF!="Mi"</formula>
    </cfRule>
    <cfRule type="expression" dxfId="2" priority="1178">
      <formula>#REF!="Mo"</formula>
    </cfRule>
    <cfRule type="expression" dxfId="1" priority="1179">
      <formula>#REF!="Di"</formula>
    </cfRule>
    <cfRule type="expression" dxfId="0" priority="1180">
      <formula>#REF!="Sa"</formula>
    </cfRule>
  </conditionalFormatting>
  <printOptions gridLines="1"/>
  <pageMargins left="0.11811023622047245" right="0.11811023622047245" top="0.19685039370078741" bottom="0.19685039370078741" header="0.11811023622047245" footer="0.11811023622047245"/>
  <pageSetup paperSize="8" scale="90" fitToHeight="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F23963988DE484C82FBBCBC42A7C19C" ma:contentTypeVersion="24" ma:contentTypeDescription="Ein neues Dokument erstellen." ma:contentTypeScope="" ma:versionID="5f2c139fceccc7ddad6eb1f99e7c9377">
  <xsd:schema xmlns:xsd="http://www.w3.org/2001/XMLSchema" xmlns:xs="http://www.w3.org/2001/XMLSchema" xmlns:p="http://schemas.microsoft.com/office/2006/metadata/properties" xmlns:ns2="9e9b9daf-3621-41a6-acc2-c0bd39099830" xmlns:ns3="201a69a4-21dc-4228-8c23-7c9e1bbfc4b8" xmlns:ns4="484c8c59-755d-4516-b8d2-1621b38262b4" targetNamespace="http://schemas.microsoft.com/office/2006/metadata/properties" ma:root="true" ma:fieldsID="05c0152ac0e545bd9f71d5d2cf784b46" ns2:_="" ns3:_="" ns4:_="">
    <xsd:import namespace="9e9b9daf-3621-41a6-acc2-c0bd39099830"/>
    <xsd:import namespace="201a69a4-21dc-4228-8c23-7c9e1bbfc4b8"/>
    <xsd:import namespace="484c8c59-755d-4516-b8d2-1621b38262b4"/>
    <xsd:element name="properties">
      <xsd:complexType>
        <xsd:sequence>
          <xsd:element name="documentManagement">
            <xsd:complexType>
              <xsd:all>
                <xsd:element ref="ns2:PublishingStartDate" minOccurs="0"/>
                <xsd:element ref="ns2:PublishingExpirationDate" minOccurs="0"/>
                <xsd:element ref="ns2:Kategorie" minOccurs="0"/>
                <xsd:element ref="ns2:Standort" minOccurs="0"/>
                <xsd:element ref="ns2:Sprach" minOccurs="0"/>
                <xsd:element ref="ns2:Language"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b9daf-3621-41a6-acc2-c0bd39099830" elementFormDefault="qualified">
    <xsd:import namespace="http://schemas.microsoft.com/office/2006/documentManagement/types"/>
    <xsd:import namespace="http://schemas.microsoft.com/office/infopath/2007/PartnerControls"/>
    <xsd:element name="PublishingStartDate" ma:index="4" nillable="true" ma:displayName="Geplantes Startdatum" ma:description="Geplantes Startdatum ist eine Websitespalte, die über das Feature zum Veröffentlichen erstellt wird. Es wird zur Angabe des Datums und der Uhrzeit verwendet, wann diese Seite Besuchern zum ersten Mal angezeigt wird." ma:format="DateTime" ma:internalName="PublishingStartDate" ma:readOnly="false">
      <xsd:simpleType>
        <xsd:restriction base="dms:Unknown"/>
      </xsd:simpleType>
    </xsd:element>
    <xsd:element name="PublishingExpirationDate" ma:index="5" nillable="true" ma:displayName="Geplantes Enddatum" ma:description="Geplantes Enddatum ist eine Websitespalte, die über das Feature zum Veröffentlichen erstellt wird. Es wird zur Angabe des Datums und der Uhrzeit verwendet, wann diese Seite Besuchern nicht mehr angezeigt wird." ma:format="DateTime" ma:internalName="PublishingExpirationDate" ma:readOnly="false">
      <xsd:simpleType>
        <xsd:restriction base="dms:Unknown"/>
      </xsd:simpleType>
    </xsd:element>
    <xsd:element name="Kategorie" ma:index="6" nillable="true" ma:displayName="Kategorie" ma:internalName="Kategorie" ma:readOnly="false">
      <xsd:simpleType>
        <xsd:restriction base="dms:Text">
          <xsd:maxLength value="255"/>
        </xsd:restriction>
      </xsd:simpleType>
    </xsd:element>
    <xsd:element name="Standort" ma:index="7" nillable="true" ma:displayName="Standort" ma:internalName="Standort" ma:readOnly="false">
      <xsd:simpleType>
        <xsd:restriction base="dms:Text">
          <xsd:maxLength value="255"/>
        </xsd:restriction>
      </xsd:simpleType>
    </xsd:element>
    <xsd:element name="Sprach" ma:index="8" nillable="true" ma:displayName="Sprach" ma:description="Deutsch&#10;English" ma:internalName="Sprach" ma:readOnly="false">
      <xsd:simpleType>
        <xsd:restriction base="dms:Text">
          <xsd:maxLength value="255"/>
        </xsd:restriction>
      </xsd:simpleType>
    </xsd:element>
    <xsd:element name="Language" ma:index="9" nillable="true" ma:displayName="Language" ma:description="Deutsch&#10;English" ma:internalName="Language" ma:readOnly="false">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a69a4-21dc-4228-8c23-7c9e1bbfc4b8"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c8c59-755d-4516-b8d2-1621b38262b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caf284d-c1e5-43fc-b015-07e76d5a51eb}" ma:internalName="TaxCatchAll" ma:showField="CatchAllData" ma:web="201a69a4-21dc-4228-8c23-7c9e1bbfc4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Inhaltstyp"/>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anguage xmlns="9e9b9daf-3621-41a6-acc2-c0bd39099830" xsi:nil="true"/>
    <PublishingExpirationDate xmlns="9e9b9daf-3621-41a6-acc2-c0bd39099830" xsi:nil="true"/>
    <Standort xmlns="9e9b9daf-3621-41a6-acc2-c0bd39099830" xsi:nil="true"/>
    <lcf76f155ced4ddcb4097134ff3c332f xmlns="9e9b9daf-3621-41a6-acc2-c0bd39099830">
      <Terms xmlns="http://schemas.microsoft.com/office/infopath/2007/PartnerControls"/>
    </lcf76f155ced4ddcb4097134ff3c332f>
    <Sprach xmlns="9e9b9daf-3621-41a6-acc2-c0bd39099830" xsi:nil="true"/>
    <TaxCatchAll xmlns="484c8c59-755d-4516-b8d2-1621b38262b4" xsi:nil="true"/>
    <PublishingStartDate xmlns="9e9b9daf-3621-41a6-acc2-c0bd39099830" xsi:nil="true"/>
    <Kategorie xmlns="9e9b9daf-3621-41a6-acc2-c0bd390998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2BCB7D-D8B6-44D5-ADF0-E9BCA03CFDA1}"/>
</file>

<file path=customXml/itemProps2.xml><?xml version="1.0" encoding="utf-8"?>
<ds:datastoreItem xmlns:ds="http://schemas.openxmlformats.org/officeDocument/2006/customXml" ds:itemID="{23339625-ED0C-4F17-A4CE-320CF0DBD9F6}"/>
</file>

<file path=customXml/itemProps3.xml><?xml version="1.0" encoding="utf-8"?>
<ds:datastoreItem xmlns:ds="http://schemas.openxmlformats.org/officeDocument/2006/customXml" ds:itemID="{73F8C31C-FBCC-4630-A387-D2C22D04A64B}"/>
</file>

<file path=docProps/app.xml><?xml version="1.0" encoding="utf-8"?>
<Properties xmlns="http://schemas.openxmlformats.org/officeDocument/2006/extended-properties" xmlns:vt="http://schemas.openxmlformats.org/officeDocument/2006/docPropsVTypes">
  <Application>Microsoft Excel Online</Application>
  <Manager/>
  <Company>Fachhochschule Nordwestschweiz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Trachsel</dc:creator>
  <cp:keywords/>
  <dc:description/>
  <cp:lastModifiedBy>Fabia Berger</cp:lastModifiedBy>
  <cp:revision/>
  <dcterms:created xsi:type="dcterms:W3CDTF">2024-01-31T11:32:33Z</dcterms:created>
  <dcterms:modified xsi:type="dcterms:W3CDTF">2026-01-21T10:59:20Z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0x0101006F23963988DE484C82FBBCBC42A7C19C</vt:lpwstr>
  </property>
  <property fmtid="{D5CDD505-2E9C-101B-9397-08002B2CF9AE}" pid="3" name="MediaServiceImageTags">
    <vt:lpwstr/>
  </property>
</Properties>
</file>