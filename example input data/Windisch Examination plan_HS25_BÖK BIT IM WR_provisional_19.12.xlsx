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defaultThemeVersion="166925"/>
  <mc:AlternateContent xmlns:mc="http://schemas.openxmlformats.org/markup-compatibility/2006">
    <mc:Choice Requires="x15">
      <x15ac:absPath xmlns:x15ac="http://schemas.microsoft.com/office/spreadsheetml/2010/11/ac" url="\\fs.adm.ds.fhnw.ch\Data\HSW\A1912_Ausbildung\A1912_Pruefungsplan\HS25\Windisch\Publiziert\"/>
    </mc:Choice>
  </mc:AlternateContent>
  <xr:revisionPtr revIDLastSave="2" documentId="13_ncr:1_{8649FE55-8F02-404E-A617-B1BCAC98E058}" xr6:coauthVersionLast="47" xr6:coauthVersionMax="47" xr10:uidLastSave="{E330FE0B-B10A-47F3-8484-BE7DCF830231}"/>
  <bookViews>
    <workbookView xWindow="28680" yWindow="-120" windowWidth="29040" windowHeight="17640" xr2:uid="{D31ABE01-572A-4CFE-B481-3319C3678639}"/>
  </bookViews>
  <sheets>
    <sheet name="Prüfungsplan HS25 Windisch" sheetId="1" r:id="rId1"/>
  </sheets>
  <definedNames>
    <definedName name="_xlnm._FilterDatabase" localSheetId="0" hidden="1">'Prüfungsplan HS25 Windisch'!$A$1:$N$179</definedName>
    <definedName name="_xlnm.Print_Area" localSheetId="0">'Prüfungsplan HS25 Windisch'!$A$1:$N$178</definedName>
    <definedName name="_xlnm.Print_Titles" localSheetId="0">'Prüfungsplan HS25 Windisch'!$1:$1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5" i="1" l="1"/>
  <c r="E71" i="1"/>
  <c r="E18" i="1" l="1"/>
  <c r="E14" i="1"/>
  <c r="E177" i="1" l="1"/>
  <c r="E178" i="1"/>
  <c r="E125" i="1"/>
  <c r="E124" i="1"/>
  <c r="E28" i="1"/>
  <c r="E41" i="1" l="1"/>
  <c r="E134" i="1"/>
  <c r="E83" i="1"/>
  <c r="E121" i="1"/>
  <c r="E36" i="1"/>
  <c r="E64" i="1"/>
  <c r="E57" i="1" l="1"/>
  <c r="E96" i="1"/>
  <c r="E173" i="1"/>
  <c r="E62" i="1"/>
  <c r="E116" i="1"/>
  <c r="E98" i="1"/>
  <c r="E87" i="1"/>
  <c r="E94" i="1"/>
  <c r="E22" i="1"/>
  <c r="E49" i="1"/>
  <c r="E72" i="1"/>
  <c r="E127" i="1"/>
  <c r="E111" i="1"/>
  <c r="E149" i="1"/>
  <c r="E156" i="1"/>
  <c r="E89" i="1"/>
  <c r="E129" i="1"/>
  <c r="E137" i="1"/>
  <c r="E91" i="1"/>
  <c r="E131" i="1"/>
  <c r="E139" i="1"/>
  <c r="E32" i="1"/>
  <c r="E39" i="1"/>
  <c r="E105" i="1"/>
  <c r="E162" i="1"/>
  <c r="E142" i="1"/>
  <c r="E154" i="1"/>
  <c r="E31" i="1"/>
  <c r="E110" i="1"/>
  <c r="E146" i="1"/>
  <c r="E104" i="1"/>
  <c r="E161" i="1"/>
  <c r="E141" i="1"/>
  <c r="E168" i="1"/>
  <c r="E16" i="1"/>
  <c r="E8" i="1"/>
  <c r="E52" i="1"/>
  <c r="E143" i="1"/>
  <c r="E80" i="1"/>
  <c r="E43" i="1"/>
  <c r="E17" i="1" l="1"/>
  <c r="E163" i="1"/>
  <c r="E55" i="1" l="1"/>
  <c r="E114" i="1" l="1"/>
  <c r="E54" i="1"/>
  <c r="E3" i="1"/>
  <c r="E95" i="1"/>
  <c r="E169" i="1"/>
  <c r="E23" i="1" l="1"/>
  <c r="E170" i="1"/>
  <c r="E56" i="1" l="1"/>
  <c r="E4" i="1"/>
  <c r="E5" i="1"/>
  <c r="E6" i="1"/>
  <c r="E7" i="1"/>
  <c r="E9" i="1"/>
  <c r="E10" i="1"/>
  <c r="E11" i="1"/>
  <c r="E12" i="1"/>
  <c r="E13" i="1"/>
  <c r="E15" i="1"/>
  <c r="E19" i="1"/>
  <c r="E20" i="1"/>
  <c r="E21" i="1"/>
  <c r="E26" i="1"/>
  <c r="E27" i="1"/>
  <c r="E29" i="1"/>
  <c r="E30" i="1"/>
  <c r="E33" i="1"/>
  <c r="E34" i="1"/>
  <c r="E35" i="1"/>
  <c r="E37" i="1"/>
  <c r="E38" i="1"/>
  <c r="E40" i="1"/>
  <c r="E42" i="1"/>
  <c r="E44" i="1"/>
  <c r="E45" i="1"/>
  <c r="E46" i="1"/>
  <c r="E47" i="1"/>
  <c r="E48" i="1"/>
  <c r="E50" i="1"/>
  <c r="E51" i="1"/>
  <c r="E58" i="1"/>
  <c r="E59" i="1"/>
  <c r="E61" i="1"/>
  <c r="E63" i="1"/>
  <c r="E60" i="1"/>
  <c r="E53" i="1"/>
  <c r="E65" i="1"/>
  <c r="E67" i="1"/>
  <c r="E68" i="1"/>
  <c r="E69" i="1"/>
  <c r="E70" i="1"/>
  <c r="E75" i="1"/>
  <c r="E78" i="1"/>
  <c r="E79" i="1"/>
  <c r="E81" i="1"/>
  <c r="E82" i="1"/>
  <c r="E84" i="1"/>
  <c r="E85" i="1"/>
  <c r="E86" i="1"/>
  <c r="E88" i="1"/>
  <c r="E90" i="1"/>
  <c r="E92" i="1"/>
  <c r="E93" i="1"/>
  <c r="E97" i="1"/>
  <c r="E99" i="1"/>
  <c r="E100" i="1"/>
  <c r="E101" i="1"/>
  <c r="E102" i="1"/>
  <c r="E103" i="1"/>
  <c r="E106" i="1"/>
  <c r="E107" i="1"/>
  <c r="E108" i="1"/>
  <c r="E2" i="1"/>
  <c r="E159" i="1"/>
  <c r="E109" i="1"/>
  <c r="E112" i="1"/>
  <c r="E113" i="1"/>
  <c r="E115" i="1"/>
  <c r="E117" i="1"/>
  <c r="E164" i="1"/>
  <c r="E118" i="1"/>
  <c r="E119" i="1"/>
  <c r="E120" i="1"/>
  <c r="E122" i="1"/>
  <c r="E126" i="1"/>
  <c r="E128" i="1"/>
  <c r="E130" i="1"/>
  <c r="E123" i="1"/>
  <c r="E132" i="1"/>
  <c r="E133" i="1"/>
  <c r="E135" i="1"/>
  <c r="E136" i="1"/>
  <c r="E138" i="1"/>
  <c r="E66" i="1"/>
  <c r="E140" i="1"/>
  <c r="E144" i="1"/>
  <c r="E73" i="1"/>
  <c r="E76" i="1"/>
  <c r="E77" i="1"/>
  <c r="E74" i="1"/>
  <c r="E145" i="1"/>
  <c r="E147" i="1"/>
  <c r="E148" i="1"/>
  <c r="E150" i="1"/>
  <c r="E151" i="1"/>
  <c r="E171" i="1"/>
  <c r="E152" i="1"/>
  <c r="E153" i="1"/>
  <c r="E155" i="1"/>
  <c r="E157" i="1"/>
  <c r="E158" i="1"/>
  <c r="E160" i="1"/>
  <c r="E165" i="1"/>
  <c r="E167" i="1"/>
  <c r="E172" i="1"/>
  <c r="E174" i="1"/>
  <c r="E176" i="1"/>
</calcChain>
</file>

<file path=xl/sharedStrings.xml><?xml version="1.0" encoding="utf-8"?>
<sst xmlns="http://schemas.openxmlformats.org/spreadsheetml/2006/main" count="1137" uniqueCount="315">
  <si>
    <t>Tag
Day</t>
  </si>
  <si>
    <t>Datum
Date</t>
  </si>
  <si>
    <t>Beginn
Start</t>
  </si>
  <si>
    <t>Ende
End</t>
  </si>
  <si>
    <t>Dauer
Duration</t>
  </si>
  <si>
    <t>Pause
Break</t>
  </si>
  <si>
    <t>Modul/Kurs
Module/Course</t>
  </si>
  <si>
    <t>Dozierende
Lecturers</t>
  </si>
  <si>
    <t>Studiengang/Klasse
Study Program/class</t>
  </si>
  <si>
    <t>Semester / Semestre</t>
  </si>
  <si>
    <t>Nachteilsausgleich</t>
  </si>
  <si>
    <t>Prüfungsart
Type of examination</t>
  </si>
  <si>
    <t>Anzahl / Size</t>
  </si>
  <si>
    <t>Raum
Room</t>
  </si>
  <si>
    <t>Mo</t>
  </si>
  <si>
    <t xml:space="preserve">Wirtschaftskommunikation DE/EN 4 </t>
  </si>
  <si>
    <t>Valeria Legena (Deutsch), Alfonso Del Perico (Englisch)</t>
  </si>
  <si>
    <t>BÖK TZ 22.Pa</t>
  </si>
  <si>
    <t>schriftlich</t>
  </si>
  <si>
    <t>Mi</t>
  </si>
  <si>
    <t>Mirjam Neidhart (Deutsch), Alfonso Del Perico (Englisch)</t>
  </si>
  <si>
    <t>BÖK TZ22.Ka / VZ23.Fa</t>
  </si>
  <si>
    <t>Di</t>
  </si>
  <si>
    <t>Empirical Methods &amp; Business Analytics</t>
  </si>
  <si>
    <t>Fabian Sander, Datta Souvik</t>
  </si>
  <si>
    <t>IM PT 23.Ka</t>
  </si>
  <si>
    <t>6.-1D13</t>
  </si>
  <si>
    <t xml:space="preserve">Matthias Templ, Souvik Datta </t>
  </si>
  <si>
    <t>IM PT 23.Pa / PT 24.Fa</t>
  </si>
  <si>
    <t>6.-1D09</t>
  </si>
  <si>
    <t>Empirische Methoden &amp; Business Analytics</t>
  </si>
  <si>
    <t>Carol Demarmels, Béla Ackermann, Sonja Trachsel</t>
  </si>
  <si>
    <t xml:space="preserve">BÖK TZ23.Ka / BÖK TZ23.Pa /Olten Klasse </t>
  </si>
  <si>
    <t>MooPad</t>
  </si>
  <si>
    <t>5.0A52/56</t>
  </si>
  <si>
    <t>Common Law</t>
  </si>
  <si>
    <t>Beatrix Schibli</t>
  </si>
  <si>
    <t>WR TZ 23.Pa / VZ 23.Pa</t>
  </si>
  <si>
    <t>5.0B56</t>
  </si>
  <si>
    <t>Gruppe NT</t>
  </si>
  <si>
    <t>5.1A17</t>
  </si>
  <si>
    <t>MI</t>
  </si>
  <si>
    <t>Business Processes &amp; Project Management</t>
  </si>
  <si>
    <t>Yannick Nann</t>
  </si>
  <si>
    <t>IM PT23.Pa / PT23.Ka / PT24.Fa</t>
  </si>
  <si>
    <t>Geschäftsprozess- &amp; Projekt-Management</t>
  </si>
  <si>
    <t>Achim Dannecker</t>
  </si>
  <si>
    <t>BÖK TZ23.Ka</t>
  </si>
  <si>
    <t>5.0A52</t>
  </si>
  <si>
    <t>BÖK TZ 23.Pa</t>
  </si>
  <si>
    <t>6.0D13</t>
  </si>
  <si>
    <t>Do</t>
  </si>
  <si>
    <t xml:space="preserve">Financial Reporting &amp; Controlling  </t>
  </si>
  <si>
    <t>Anna Caroni, Nico Sütterle</t>
  </si>
  <si>
    <t>5</t>
  </si>
  <si>
    <t>6.-1D09/13</t>
  </si>
  <si>
    <t>Ulrich Krings, Clemens Kustner, Beat Geissbühler</t>
  </si>
  <si>
    <t>BÖK TZ23.Ka / TZ23.Pa</t>
  </si>
  <si>
    <t>Sekretariat 5.4B</t>
  </si>
  <si>
    <t xml:space="preserve">Immaterialgüterrecht </t>
  </si>
  <si>
    <t>Oliver Schmid</t>
  </si>
  <si>
    <t>3.-111</t>
  </si>
  <si>
    <t>1.021</t>
  </si>
  <si>
    <t>Integrationsmodul</t>
  </si>
  <si>
    <t>Ivan Köhle, Andreas Mühlhäuser</t>
  </si>
  <si>
    <t>BÖK TZ 22.Fa</t>
  </si>
  <si>
    <t xml:space="preserve">Economics </t>
  </si>
  <si>
    <t>Markus Freiburghaus</t>
  </si>
  <si>
    <t>BIT PT 24</t>
  </si>
  <si>
    <t>Einführung Wirtschaftsstrafrecht</t>
  </si>
  <si>
    <t>Judith Natterer</t>
  </si>
  <si>
    <t>WR TZ F 25a</t>
  </si>
  <si>
    <t xml:space="preserve">3.-111 </t>
  </si>
  <si>
    <t>WR VZ 25a</t>
  </si>
  <si>
    <t xml:space="preserve">5.0B56 </t>
  </si>
  <si>
    <t>5.4B53</t>
  </si>
  <si>
    <t>Foundations of Business Law</t>
  </si>
  <si>
    <t>Anja Nicol</t>
  </si>
  <si>
    <t>IM PT 25.Fa</t>
  </si>
  <si>
    <t>5.4A17</t>
  </si>
  <si>
    <t>ganzer Tag, Zeitslots gem. Information des Dozenten</t>
  </si>
  <si>
    <t>Vertiefungsvorlesung ZGB (Personen- und Sachenrecht)</t>
  </si>
  <si>
    <t>Jonas Kipfer-Berger</t>
  </si>
  <si>
    <t>WR VZ 23.Pa</t>
  </si>
  <si>
    <t>mündliche Prüfung</t>
  </si>
  <si>
    <t>5.4C52: mündliche Prüfung 
5.4C54: Vorbereitungen</t>
  </si>
  <si>
    <t>Kritisches Denken und Wissenschaftliches Schreiben</t>
  </si>
  <si>
    <t>Lea Portmann</t>
  </si>
  <si>
    <t>BÖK TZ F 25a</t>
  </si>
  <si>
    <t>Johanna Künzler</t>
  </si>
  <si>
    <t>BÖK TZ T 25a</t>
  </si>
  <si>
    <t>6.1D57</t>
  </si>
  <si>
    <t>BÖK VZ 25a</t>
  </si>
  <si>
    <t>Critical Thinking and Academic Writing</t>
  </si>
  <si>
    <t>Terry Inglese</t>
  </si>
  <si>
    <t>IM PT D 25a</t>
  </si>
  <si>
    <t>6.2D55</t>
  </si>
  <si>
    <t>IM PT F 25a</t>
  </si>
  <si>
    <t>6.2D53</t>
  </si>
  <si>
    <t>Angewandte Mathematik 1</t>
  </si>
  <si>
    <t>Roman Meier</t>
  </si>
  <si>
    <t>Simon Hallström</t>
  </si>
  <si>
    <t>Applied Mathematics 1</t>
  </si>
  <si>
    <t>Caterina Savi</t>
  </si>
  <si>
    <t>5.1C59</t>
  </si>
  <si>
    <t>BIT PT D 25</t>
  </si>
  <si>
    <t>Entrepreneurship &amp; Innovation</t>
  </si>
  <si>
    <t>Barbara Eisenbart, Marc Aeschbacher</t>
  </si>
  <si>
    <t>BÖK TZ 23.Fa</t>
  </si>
  <si>
    <t>Marc Aeschbacher</t>
  </si>
  <si>
    <t>BÖK VZ 23</t>
  </si>
  <si>
    <t>Beat Birkenmeier, Leaila Kabous</t>
  </si>
  <si>
    <t>IM FT 23.a</t>
  </si>
  <si>
    <t>Einführung Recht</t>
  </si>
  <si>
    <t>Beatrice Heimann, Sophie Freiburghaus</t>
  </si>
  <si>
    <t>Statistik 1</t>
  </si>
  <si>
    <t>Carol Demarmels</t>
  </si>
  <si>
    <t>Statistics 1</t>
  </si>
  <si>
    <t>Souvik Datta</t>
  </si>
  <si>
    <t xml:space="preserve">Information Management </t>
  </si>
  <si>
    <t>Irene Buller</t>
  </si>
  <si>
    <t>IM PT24.Pa / PT24.Ka / PT25.Fa</t>
  </si>
  <si>
    <t>Grundlagen Wirtschaftsrecht</t>
  </si>
  <si>
    <t>Jose Sanchez</t>
  </si>
  <si>
    <t>BÖK TZ25.Fa</t>
  </si>
  <si>
    <t>5.1C52</t>
  </si>
  <si>
    <t>Vorlesung Völkerrecht</t>
  </si>
  <si>
    <t>Gian Heimann</t>
  </si>
  <si>
    <t>WR VZ23.Pa</t>
  </si>
  <si>
    <t>5.3A17</t>
  </si>
  <si>
    <t>Programming 2</t>
  </si>
  <si>
    <t>Patrik Christen</t>
  </si>
  <si>
    <t>Informationsmanagement</t>
  </si>
  <si>
    <t>Aline Giovanoli, Béla Ackermann, Evelyn Kopec</t>
  </si>
  <si>
    <t>BÖK TZ 24.Ka</t>
  </si>
  <si>
    <t>Matthias Frühsorge</t>
  </si>
  <si>
    <t>BÖK TZ 24.Pa</t>
  </si>
  <si>
    <t>Digital Business (Informationsmanagement)</t>
  </si>
  <si>
    <t>WR VZ 25</t>
  </si>
  <si>
    <t>WR TZ24.a</t>
  </si>
  <si>
    <t>VS MgIn_D Marketing und Wirtschaftspsychologie</t>
  </si>
  <si>
    <t>Raymond Dettwiler, Simon Mugier, Andreas Lucco</t>
  </si>
  <si>
    <t>BÖK/IM</t>
  </si>
  <si>
    <t>VS FiM+TreuB_D Beratung im Treuhandwesen</t>
  </si>
  <si>
    <t>Tobias Hüttche</t>
  </si>
  <si>
    <t>VS B&amp;F_E Portfolio Theory and Portfolio Management REP</t>
  </si>
  <si>
    <t>Matthias Härri, Gianreto Gamboni, Christoph Winter</t>
  </si>
  <si>
    <t>Digital Business Models</t>
  </si>
  <si>
    <t>Johannes Fenner, Irene Buller</t>
  </si>
  <si>
    <t>BIT PT23 / FT23</t>
  </si>
  <si>
    <t>7</t>
  </si>
  <si>
    <t>1.013</t>
  </si>
  <si>
    <t>VS MgIn_D Marketing und Sales</t>
  </si>
  <si>
    <t>Einführung Privatrecht</t>
  </si>
  <si>
    <t>Beatrice Heimann, Sibylle Bühler</t>
  </si>
  <si>
    <t xml:space="preserve">3.-111
 </t>
  </si>
  <si>
    <t>WR TZ F 25a, VZ 25a</t>
  </si>
  <si>
    <t>5.1B51</t>
  </si>
  <si>
    <t>VS B&amp;F_E Bank Management (English)</t>
  </si>
  <si>
    <t>Matthias Härri, Daniel Höchle, Frank Graef</t>
  </si>
  <si>
    <t>VS B&amp;F_D Bankmanagement</t>
  </si>
  <si>
    <t>VS FiM+Contr_D Value Based Controlling</t>
  </si>
  <si>
    <t>Tobias Hüttche, Ulrich Krings</t>
  </si>
  <si>
    <t>1.313</t>
  </si>
  <si>
    <t>VS B&amp;F_E Advanced Corporate Finance (English)</t>
  </si>
  <si>
    <t>VS B&amp;F_D Advanced Corporate Finance</t>
  </si>
  <si>
    <t>Fr</t>
  </si>
  <si>
    <t>Statistics and Probability</t>
  </si>
  <si>
    <t>Tobias Schoch</t>
  </si>
  <si>
    <t>BIT PT 23</t>
  </si>
  <si>
    <t xml:space="preserve">Principles of Management </t>
  </si>
  <si>
    <t>Brido Schuler</t>
  </si>
  <si>
    <t>1.045/47</t>
  </si>
  <si>
    <t>Principles of Management</t>
  </si>
  <si>
    <t>Richard Müller</t>
  </si>
  <si>
    <t>A-K: 6.2D53 - 15 Pers.
M-V: 6.2D55 - 15 Pers.</t>
  </si>
  <si>
    <t>Ivan Köhle, Daniel Buser, Corinne Mühlebach</t>
  </si>
  <si>
    <t>5.4C06</t>
  </si>
  <si>
    <t>6.1A55</t>
  </si>
  <si>
    <t>Patrick Angehrn, Daniel Buser, Corinne Mühlebach</t>
  </si>
  <si>
    <t>Richard Müller, Susanne Dornemann</t>
  </si>
  <si>
    <t>WR TZ 25a</t>
  </si>
  <si>
    <r>
      <rPr>
        <b/>
        <sz val="11"/>
        <color rgb="FFFF0000"/>
        <rFont val="Calibri"/>
        <family val="2"/>
        <scheme val="minor"/>
      </rPr>
      <t>A-S: 5.0B56 (79)</t>
    </r>
    <r>
      <rPr>
        <sz val="11"/>
        <rFont val="Calibri"/>
        <family val="2"/>
        <scheme val="minor"/>
      </rPr>
      <t xml:space="preserve">
ST-Z: 5.1A17 (13)</t>
    </r>
  </si>
  <si>
    <t>Andreas Hinz, Kristine Metuzale</t>
  </si>
  <si>
    <t xml:space="preserve">MooPad </t>
  </si>
  <si>
    <t>Andreas Hinz, Anya Nikoulina</t>
  </si>
  <si>
    <t>Legal English I</t>
  </si>
  <si>
    <t>Jean-Luc Delli</t>
  </si>
  <si>
    <t>WR TZ 25</t>
  </si>
  <si>
    <t>3.-111 - 90 Pers.</t>
  </si>
  <si>
    <t>Vertiefungsvorlesung Strafrecht</t>
  </si>
  <si>
    <t>5.3C06</t>
  </si>
  <si>
    <t>Sa</t>
  </si>
  <si>
    <t>Corporate Finance</t>
  </si>
  <si>
    <t>Fabian Schmid, Ivan Köhle, Roger Küng</t>
  </si>
  <si>
    <t>BÖK VZ 24.Pa</t>
  </si>
  <si>
    <t>Wirtschaftsethik und Nachhaltigkeit</t>
  </si>
  <si>
    <t>Simon Mugier</t>
  </si>
  <si>
    <t>Supply Chain Management &amp; Sustainability</t>
  </si>
  <si>
    <t>Joachim Ehrenthal</t>
  </si>
  <si>
    <t>Logistics and Supply Chain Management</t>
  </si>
  <si>
    <t>Dominik Wörner</t>
  </si>
  <si>
    <t>BÖK VZ23.Pa / TZ23.Fa</t>
  </si>
  <si>
    <t xml:space="preserve">Gesellschaftsrecht </t>
  </si>
  <si>
    <t>Nicolas Spichtin</t>
  </si>
  <si>
    <t>WR TZ24.Pa, VZ 24.Pa</t>
  </si>
  <si>
    <t>3</t>
  </si>
  <si>
    <t>A-Se: 3.-111
Sr-Z: 1.013</t>
  </si>
  <si>
    <t xml:space="preserve">Mikroökonomie </t>
  </si>
  <si>
    <t>Andreas Mühlhäuser</t>
  </si>
  <si>
    <t>BÖK TZ 24.Ka / TZ 24.Pa</t>
  </si>
  <si>
    <t>Microeconomics (online class)</t>
  </si>
  <si>
    <t>Michael Ulrich</t>
  </si>
  <si>
    <t>IM PT 24.Ka</t>
  </si>
  <si>
    <t>Microeconomics</t>
  </si>
  <si>
    <t>Nico Sütterle</t>
  </si>
  <si>
    <t>IM PT24.Ka / PT25.Fa</t>
  </si>
  <si>
    <t xml:space="preserve">Wahlmodul Marketing </t>
  </si>
  <si>
    <t>Veronika Bellone</t>
  </si>
  <si>
    <t>WR VZ 24.Pa</t>
  </si>
  <si>
    <t xml:space="preserve">Marketing </t>
  </si>
  <si>
    <t>BÖK VZ 24.Pa, TZ24.Fa</t>
  </si>
  <si>
    <t>HRM &amp; OB 2</t>
  </si>
  <si>
    <t>Susanne Dornemann, Christoph Vogel</t>
  </si>
  <si>
    <t>Feriha Özdemir, Michael Sitte</t>
  </si>
  <si>
    <t>HRM &amp; Organisational Behaviour 2</t>
  </si>
  <si>
    <t>Michael Sitte, Lea Küng</t>
  </si>
  <si>
    <t>IM PT24.Pa / PT24.Ka / PT24.Fa</t>
  </si>
  <si>
    <t>IT-Security</t>
  </si>
  <si>
    <t>Ilya Misyura, Swantje Westpfahl</t>
  </si>
  <si>
    <t>BIT PT23</t>
  </si>
  <si>
    <t>Organisational Behaviour</t>
  </si>
  <si>
    <t>Michael Sitte</t>
  </si>
  <si>
    <t>Anita Graf</t>
  </si>
  <si>
    <t>Michael Holenweger</t>
  </si>
  <si>
    <t>Machine Learning with Python (BA) English</t>
  </si>
  <si>
    <t>Rainer Telesko, Gwendolin Wilke</t>
  </si>
  <si>
    <t>BIT</t>
  </si>
  <si>
    <t>Cyber Security, Cyber Crime and Data Protection</t>
  </si>
  <si>
    <t>Barbara Widmer</t>
  </si>
  <si>
    <t>Wirtschaftskommunikation DE/EN 3</t>
  </si>
  <si>
    <t>Elena Callegaro</t>
  </si>
  <si>
    <t>BÖK VZ 24.Pa, TZ 24.Fa</t>
  </si>
  <si>
    <t xml:space="preserve">5.0B56, </t>
  </si>
  <si>
    <t>Susanne Dornemann</t>
  </si>
  <si>
    <t>A-T: 5.0A52
U-Z: 5.1A17</t>
  </si>
  <si>
    <t>Claudia Thali</t>
  </si>
  <si>
    <t>5.4D11</t>
  </si>
  <si>
    <t>Financial Accounting &amp; Reporting</t>
  </si>
  <si>
    <t>Andreas Flückiger</t>
  </si>
  <si>
    <t>Andreas Flückiger, Clemens Kustner</t>
  </si>
  <si>
    <t>Corporate Governance</t>
  </si>
  <si>
    <t>WR TZ 24.Pa, VZ 24.Pa</t>
  </si>
  <si>
    <t>A-Se: 3.-111
Sr-Z: 1.313</t>
  </si>
  <si>
    <t>Programming Foundations</t>
  </si>
  <si>
    <t>Yannick Suter</t>
  </si>
  <si>
    <t>Konfliktmanagement und Wirtschaftsrecht</t>
  </si>
  <si>
    <t xml:space="preserve">Judith Natterer </t>
  </si>
  <si>
    <t>WR TZ23.Pa, VZ24.Pa</t>
  </si>
  <si>
    <t xml:space="preserve">Management Accounting </t>
  </si>
  <si>
    <t>Marco Hürsch, Rolf Schaeren</t>
  </si>
  <si>
    <t>BÖK TZ 24.Pa, TZ 24.Fa</t>
  </si>
  <si>
    <t>Silke Waterstraat</t>
  </si>
  <si>
    <t>IM PT 24.Pa</t>
  </si>
  <si>
    <t>Management Accounting (online class)</t>
  </si>
  <si>
    <t>IM PT24.Ka</t>
  </si>
  <si>
    <t>Big, Semi- and Unstructured Data (BA) English</t>
  </si>
  <si>
    <t>Marc Schaaf, Yannick Suter</t>
  </si>
  <si>
    <t>Digital Business</t>
  </si>
  <si>
    <t>Pragati Siddhanti</t>
  </si>
  <si>
    <t>on paper</t>
  </si>
  <si>
    <t xml:space="preserve">Makroökonomie </t>
  </si>
  <si>
    <t>Andreas Mühlhäuser, Jean-Philippe Kohl</t>
  </si>
  <si>
    <t>BÖK TZ24.Fa / VZ24.Pa</t>
  </si>
  <si>
    <t>5.1D11</t>
  </si>
  <si>
    <t>Macroeconomics (REP, only exam)</t>
  </si>
  <si>
    <t>Ruth Niggli, Matthias Binswanger</t>
  </si>
  <si>
    <t>IM</t>
  </si>
  <si>
    <t>PT</t>
  </si>
  <si>
    <t>BÖK TZ22.Ka</t>
  </si>
  <si>
    <t>mündliche Prüfungen gem. Einteilung Dozentin</t>
  </si>
  <si>
    <t>?</t>
  </si>
  <si>
    <t>Einführung Steuerrecht</t>
  </si>
  <si>
    <t>Matthias Gartenmann</t>
  </si>
  <si>
    <t>TZ: 3.-111
VZ: 1.047</t>
  </si>
  <si>
    <t>IMPT.Pa_HRM &amp; Organisational Behaviour 1 - retake exam only</t>
  </si>
  <si>
    <t>Renate Grau</t>
  </si>
  <si>
    <t>IM PT</t>
  </si>
  <si>
    <t>Enterprise Systems</t>
  </si>
  <si>
    <t>BIT PT  24</t>
  </si>
  <si>
    <t xml:space="preserve">Business Maths &amp; Statistics 2 </t>
  </si>
  <si>
    <t>Cambridge English Placement Test (CEPT) - online</t>
  </si>
  <si>
    <t>Franziska Suter</t>
  </si>
  <si>
    <t xml:space="preserve">BÖK </t>
  </si>
  <si>
    <t>VZ und TZ</t>
  </si>
  <si>
    <t>BYOD</t>
  </si>
  <si>
    <t>Arbeits- und Sozialversicherungsrecht</t>
  </si>
  <si>
    <t xml:space="preserve">Christian Maduz </t>
  </si>
  <si>
    <t>WR TZ23.Pa, WR VZ24.Pa</t>
  </si>
  <si>
    <t>Accounting REP</t>
  </si>
  <si>
    <t>Wirtschaftsmathematik &amp; -statistik 1 (nur Prüfung C17) - Windisch</t>
  </si>
  <si>
    <t>Carol Demarmels, Roman Meier</t>
  </si>
  <si>
    <t>BÖK TZ</t>
  </si>
  <si>
    <t>HRM &amp; OB 1</t>
  </si>
  <si>
    <t>Wolfgang Brötje, Michael Holenweger</t>
  </si>
  <si>
    <t>BÖK TZ 25.Fa</t>
  </si>
  <si>
    <t>Vertiefungsvorlesung OR</t>
  </si>
  <si>
    <t>Wirtschaftsmathematik &amp;- statistik 2</t>
  </si>
  <si>
    <t xml:space="preserve">BÖK TZ 25.Fa </t>
  </si>
  <si>
    <t>VS B&amp;F_D Derivative, Alternative Anlagen und Fonds REP</t>
  </si>
  <si>
    <t>Härri Matthias, Winter Christoph, Gamboni Gianreto</t>
  </si>
  <si>
    <t>VS B&amp;F_E Derivatives, Alternative Assets and Funds REP</t>
  </si>
  <si>
    <t>VS FiM+Contr_D Applied Financial Management REP</t>
  </si>
  <si>
    <t>VS FiM+Contro_D Controlling und Consulting REP</t>
  </si>
  <si>
    <t>Ulrich Krings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</si>
</sst>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
  </numFmts>
  <fonts count="8">
    <font>
      <sz val="11"/>
      <color theme="1"/>
      <name val="Calibri"/>
      <family val="2"/>
      <scheme val="minor"/>
    </font>
    <font>
      <b/>
      <sz val="11"/>
      <name val="Calibri"/>
      <family val="2"/>
      <scheme val="minor"/>
    </font>
    <font>
      <sz val="8"/>
      <name val="Calibri"/>
      <family val="2"/>
      <scheme val="minor"/>
    </font>
    <font>
      <sz val="11"/>
      <name val="Calibri"/>
      <family val="2"/>
      <scheme val="minor"/>
    </font>
    <font>
      <sz val="12"/>
      <color theme="1"/>
      <name val="Calibri"/>
      <family val="2"/>
      <scheme val="minor"/>
    </font>
    <font>
      <sz val="11"/>
      <color rgb="FF000000"/>
      <name val="Calibri"/>
      <family val="2"/>
      <scheme val="minor"/>
    </font>
    <font>
      <sz val="11"/>
      <color rgb="FFFF0000"/>
      <name val="Calibri"/>
      <family val="2"/>
      <scheme val="minor"/>
    </font>
    <font>
      <b/>
      <sz val="11"/>
      <color rgb="FFFF0000"/>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rgb="FF00B0F0"/>
        <bgColor indexed="64"/>
      </patternFill>
    </fill>
    <fill>
      <patternFill patternType="solid">
        <fgColor rgb="FFFFFFCC"/>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cellStyleXfs>
  <cellXfs count="50">
    <xf numFmtId="0" fontId="0" fillId="0" borderId="0" xfId="0"/>
    <xf numFmtId="0" fontId="3" fillId="0" borderId="1" xfId="0" applyFont="1" applyBorder="1" applyAlignment="1">
      <alignment vertical="center" wrapText="1"/>
    </xf>
    <xf numFmtId="0" fontId="3" fillId="0" borderId="0" xfId="0" applyFont="1" applyAlignment="1">
      <alignment vertical="center" wrapText="1"/>
    </xf>
    <xf numFmtId="49" fontId="3" fillId="0" borderId="1" xfId="0" applyNumberFormat="1" applyFont="1" applyBorder="1" applyAlignment="1">
      <alignment horizontal="left" vertical="center" wrapText="1"/>
    </xf>
    <xf numFmtId="3" fontId="3" fillId="0" borderId="1" xfId="0" applyNumberFormat="1" applyFont="1" applyBorder="1" applyAlignment="1">
      <alignment horizontal="center" vertical="center" wrapText="1"/>
    </xf>
    <xf numFmtId="0" fontId="1" fillId="0" borderId="1" xfId="0" applyFont="1" applyBorder="1" applyAlignment="1">
      <alignment vertical="center" wrapText="1"/>
    </xf>
    <xf numFmtId="49" fontId="3" fillId="0" borderId="1" xfId="0" applyNumberFormat="1" applyFont="1" applyBorder="1" applyAlignment="1">
      <alignment vertical="center" wrapText="1"/>
    </xf>
    <xf numFmtId="49" fontId="3" fillId="0" borderId="0" xfId="0" applyNumberFormat="1" applyFont="1" applyAlignment="1">
      <alignment vertical="center" wrapText="1"/>
    </xf>
    <xf numFmtId="14" fontId="3" fillId="0" borderId="1" xfId="0" applyNumberFormat="1" applyFont="1" applyBorder="1" applyAlignment="1">
      <alignment vertical="center" wrapText="1"/>
    </xf>
    <xf numFmtId="20" fontId="3" fillId="0" borderId="1" xfId="0" applyNumberFormat="1" applyFont="1" applyBorder="1" applyAlignment="1">
      <alignment vertical="center" wrapText="1"/>
    </xf>
    <xf numFmtId="164" fontId="3" fillId="0" borderId="1" xfId="0" applyNumberFormat="1" applyFont="1" applyBorder="1" applyAlignment="1">
      <alignmen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1" fillId="0" borderId="1" xfId="0" applyFont="1" applyBorder="1" applyAlignment="1">
      <alignment horizontal="left" vertical="center" wrapText="1"/>
    </xf>
    <xf numFmtId="49" fontId="1" fillId="0" borderId="1" xfId="0" applyNumberFormat="1" applyFont="1" applyBorder="1" applyAlignment="1">
      <alignment vertical="center" wrapText="1"/>
    </xf>
    <xf numFmtId="0" fontId="1" fillId="0" borderId="1" xfId="0" applyFont="1" applyBorder="1" applyAlignment="1">
      <alignment horizontal="center" vertical="center" wrapText="1"/>
    </xf>
    <xf numFmtId="49" fontId="3" fillId="0" borderId="1" xfId="0" applyNumberFormat="1" applyFont="1" applyBorder="1" applyAlignment="1">
      <alignment horizontal="right" vertical="center" wrapText="1"/>
    </xf>
    <xf numFmtId="0" fontId="5" fillId="0" borderId="1" xfId="0" applyFont="1" applyBorder="1" applyAlignment="1">
      <alignment vertical="center" wrapText="1"/>
    </xf>
    <xf numFmtId="14" fontId="5" fillId="0" borderId="1" xfId="0" applyNumberFormat="1" applyFont="1" applyBorder="1" applyAlignment="1">
      <alignment vertical="center" wrapText="1"/>
    </xf>
    <xf numFmtId="20" fontId="5" fillId="0" borderId="1" xfId="0" applyNumberFormat="1" applyFont="1" applyBorder="1" applyAlignment="1">
      <alignment vertical="center" wrapText="1"/>
    </xf>
    <xf numFmtId="164" fontId="5" fillId="0" borderId="1" xfId="0" applyNumberFormat="1" applyFont="1" applyBorder="1" applyAlignment="1">
      <alignment vertical="center" wrapText="1"/>
    </xf>
    <xf numFmtId="0" fontId="6" fillId="0" borderId="0" xfId="0" applyFont="1" applyAlignment="1">
      <alignment vertical="center" wrapText="1"/>
    </xf>
    <xf numFmtId="49" fontId="7" fillId="0" borderId="1" xfId="0" applyNumberFormat="1" applyFont="1" applyBorder="1" applyAlignment="1">
      <alignment horizontal="right" vertical="center" wrapText="1"/>
    </xf>
    <xf numFmtId="3" fontId="3" fillId="0" borderId="1" xfId="0" applyNumberFormat="1" applyFont="1" applyBorder="1" applyAlignment="1">
      <alignment horizontal="right" vertical="center" wrapText="1"/>
    </xf>
    <xf numFmtId="0" fontId="3" fillId="2" borderId="1" xfId="0" applyFont="1" applyFill="1" applyBorder="1" applyAlignment="1">
      <alignment horizontal="right" vertical="center" wrapText="1"/>
    </xf>
    <xf numFmtId="49" fontId="3" fillId="3" borderId="1" xfId="0" applyNumberFormat="1" applyFont="1" applyFill="1" applyBorder="1" applyAlignment="1">
      <alignment horizontal="right" vertical="center" wrapText="1"/>
    </xf>
    <xf numFmtId="49" fontId="7" fillId="3" borderId="1" xfId="0" applyNumberFormat="1" applyFont="1" applyFill="1" applyBorder="1" applyAlignment="1">
      <alignment horizontal="right" vertical="center" wrapText="1"/>
    </xf>
    <xf numFmtId="0" fontId="5" fillId="0" borderId="1" xfId="0" applyFont="1" applyBorder="1" applyAlignment="1">
      <alignment horizontal="left" vertical="center" wrapText="1"/>
    </xf>
    <xf numFmtId="49" fontId="5" fillId="0" borderId="1" xfId="0" applyNumberFormat="1" applyFont="1" applyBorder="1" applyAlignment="1">
      <alignment horizontal="left" vertical="center" wrapText="1"/>
    </xf>
    <xf numFmtId="3" fontId="5" fillId="0" borderId="1" xfId="0" applyNumberFormat="1" applyFont="1" applyBorder="1" applyAlignment="1">
      <alignment horizontal="center" vertical="center" wrapText="1"/>
    </xf>
    <xf numFmtId="49" fontId="0" fillId="0" borderId="1" xfId="0" applyNumberFormat="1" applyBorder="1" applyAlignment="1">
      <alignment horizontal="left" vertical="center" wrapText="1"/>
    </xf>
    <xf numFmtId="3" fontId="3" fillId="4" borderId="1" xfId="0" applyNumberFormat="1" applyFont="1" applyFill="1" applyBorder="1" applyAlignment="1">
      <alignment horizontal="center" vertical="center" wrapText="1"/>
    </xf>
    <xf numFmtId="0" fontId="0" fillId="4" borderId="1" xfId="0" applyFill="1" applyBorder="1" applyAlignment="1">
      <alignment horizontal="right" vertical="center" wrapText="1"/>
    </xf>
    <xf numFmtId="3" fontId="3" fillId="0" borderId="2" xfId="0" applyNumberFormat="1" applyFont="1" applyBorder="1" applyAlignment="1">
      <alignment horizontal="center" vertical="center" wrapText="1"/>
    </xf>
    <xf numFmtId="0" fontId="3" fillId="5" borderId="1" xfId="0" applyFont="1" applyFill="1" applyBorder="1" applyAlignment="1">
      <alignment vertical="center" wrapText="1"/>
    </xf>
    <xf numFmtId="14" fontId="3" fillId="5" borderId="1" xfId="0" applyNumberFormat="1" applyFont="1" applyFill="1" applyBorder="1" applyAlignment="1">
      <alignment vertical="center" wrapText="1"/>
    </xf>
    <xf numFmtId="20" fontId="3" fillId="5" borderId="1" xfId="0" applyNumberFormat="1" applyFont="1" applyFill="1" applyBorder="1" applyAlignment="1">
      <alignment vertical="center" wrapText="1"/>
    </xf>
    <xf numFmtId="164" fontId="3" fillId="5" borderId="1" xfId="0" applyNumberFormat="1" applyFont="1" applyFill="1" applyBorder="1" applyAlignment="1">
      <alignment vertical="center" wrapText="1"/>
    </xf>
    <xf numFmtId="0" fontId="3" fillId="5" borderId="1" xfId="0" applyFont="1" applyFill="1" applyBorder="1" applyAlignment="1">
      <alignment horizontal="left" vertical="center" wrapText="1"/>
    </xf>
    <xf numFmtId="49"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center" vertical="center" wrapText="1"/>
    </xf>
    <xf numFmtId="49" fontId="3" fillId="0" borderId="2" xfId="0" applyNumberFormat="1" applyFont="1" applyBorder="1" applyAlignment="1">
      <alignment horizontal="left" vertical="center" wrapText="1"/>
    </xf>
    <xf numFmtId="49" fontId="3" fillId="0" borderId="3" xfId="0" applyNumberFormat="1" applyFont="1" applyBorder="1" applyAlignment="1">
      <alignment horizontal="left" vertical="center" wrapText="1"/>
    </xf>
    <xf numFmtId="20" fontId="3" fillId="0" borderId="4" xfId="0" applyNumberFormat="1" applyFont="1" applyBorder="1" applyAlignment="1">
      <alignment horizontal="left" vertical="center" wrapText="1"/>
    </xf>
    <xf numFmtId="20" fontId="3" fillId="0" borderId="5" xfId="0" applyNumberFormat="1" applyFont="1" applyBorder="1" applyAlignment="1">
      <alignment horizontal="left" vertical="center" wrapText="1"/>
    </xf>
    <xf numFmtId="20" fontId="3" fillId="0" borderId="6" xfId="0" applyNumberFormat="1" applyFont="1" applyBorder="1" applyAlignment="1">
      <alignment horizontal="left" vertical="center" wrapText="1"/>
    </xf>
    <xf numFmtId="20" fontId="3" fillId="0" borderId="7" xfId="0" applyNumberFormat="1" applyFont="1" applyBorder="1" applyAlignment="1">
      <alignment horizontal="left" vertical="center" wrapText="1"/>
    </xf>
    <xf numFmtId="20" fontId="3" fillId="0" borderId="8" xfId="0" applyNumberFormat="1" applyFont="1" applyBorder="1" applyAlignment="1">
      <alignment horizontal="left" vertical="center" wrapText="1"/>
    </xf>
    <xf numFmtId="20" fontId="3" fillId="0" borderId="9" xfId="0" applyNumberFormat="1" applyFont="1" applyBorder="1" applyAlignment="1">
      <alignment horizontal="left" vertical="center" wrapText="1"/>
    </xf>
  </cellXfs>
  <cellStyles count="2">
    <cellStyle name="Standard" xfId="0" builtinId="0"/>
    <cellStyle name="Standard 2" xfId="1" xr:uid="{D17A9011-3E48-49D4-A0D4-4FC773745AB2}"/>
  </cellStyles>
  <dxfs count="507">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rgb="FFC6EFCE"/>
        </patternFill>
      </fill>
    </dxf>
    <dxf>
      <fill>
        <patternFill>
          <bgColor theme="8" tint="0.59996337778862885"/>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rgb="FFC6EFCE"/>
        </patternFill>
      </fill>
    </dxf>
    <dxf>
      <fill>
        <patternFill>
          <bgColor theme="8" tint="0.59996337778862885"/>
        </patternFill>
      </fill>
    </dxf>
  </dxfs>
  <tableStyles count="0" defaultTableStyle="TableStyleMedium2" defaultPivotStyle="PivotStyleLight16"/>
  <colors>
    <mruColors>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3EFB29D-6C40-432F-9F65-83A16BD2B52C}">
  <we:reference id="wa200005271" version="2.5.5.0" store="de-DE"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541E2-8F03-4200-A015-DBFDB9A7FB7A}">
  <sheetPr>
    <pageSetUpPr fitToPage="1"/>
  </sheetPr>
  <dimension ref="A1:N178"/>
  <sheetViews>
    <sheetView tabSelected="1" zoomScale="80" zoomScaleNormal="80" workbookViewId="0">
      <pane xSplit="7" ySplit="1" topLeftCell="H69" activePane="bottomRight" state="frozen"/>
      <selection pane="bottomRight" activeCell="A73" sqref="A73:N77"/>
      <selection pane="bottomLeft" activeCell="A2" sqref="A2"/>
      <selection pane="topRight" activeCell="H1" sqref="H1"/>
    </sheetView>
  </sheetViews>
  <sheetFormatPr defaultColWidth="11.42578125" defaultRowHeight="15" customHeight="1" outlineLevelCol="1"/>
  <cols>
    <col min="1" max="1" width="10.42578125" style="2" bestFit="1" customWidth="1"/>
    <col min="2" max="2" width="12.42578125" style="2" bestFit="1" customWidth="1"/>
    <col min="3" max="3" width="8.5703125" style="2" customWidth="1"/>
    <col min="4" max="4" width="7.42578125" style="2" customWidth="1"/>
    <col min="5" max="5" width="8.7109375" style="2" bestFit="1" customWidth="1"/>
    <col min="6" max="6" width="7.140625" style="2" customWidth="1" outlineLevel="1"/>
    <col min="7" max="7" width="40.42578125" style="2" customWidth="1"/>
    <col min="8" max="8" width="23.85546875" style="2" customWidth="1" outlineLevel="1"/>
    <col min="9" max="9" width="31.5703125" style="12" bestFit="1" customWidth="1"/>
    <col min="10" max="10" width="11" style="12" customWidth="1" outlineLevel="1"/>
    <col min="11" max="11" width="12.28515625" style="7" bestFit="1" customWidth="1" outlineLevel="1"/>
    <col min="12" max="12" width="19.7109375" style="12" customWidth="1"/>
    <col min="13" max="13" width="9.140625" style="13" customWidth="1"/>
    <col min="14" max="14" width="24.7109375" style="2" bestFit="1" customWidth="1"/>
    <col min="15" max="16384" width="11.42578125" style="2"/>
  </cols>
  <sheetData>
    <row r="1" spans="1:14" ht="30">
      <c r="A1" s="5" t="s">
        <v>0</v>
      </c>
      <c r="B1" s="5" t="s">
        <v>1</v>
      </c>
      <c r="C1" s="5" t="s">
        <v>2</v>
      </c>
      <c r="D1" s="5" t="s">
        <v>3</v>
      </c>
      <c r="E1" s="5" t="s">
        <v>4</v>
      </c>
      <c r="F1" s="5" t="s">
        <v>5</v>
      </c>
      <c r="G1" s="5" t="s">
        <v>6</v>
      </c>
      <c r="H1" s="5" t="s">
        <v>7</v>
      </c>
      <c r="I1" s="14" t="s">
        <v>8</v>
      </c>
      <c r="J1" s="14" t="s">
        <v>9</v>
      </c>
      <c r="K1" s="15" t="s">
        <v>10</v>
      </c>
      <c r="L1" s="14" t="s">
        <v>11</v>
      </c>
      <c r="M1" s="16" t="s">
        <v>12</v>
      </c>
      <c r="N1" s="5" t="s">
        <v>13</v>
      </c>
    </row>
    <row r="2" spans="1:14" ht="45" hidden="1">
      <c r="A2" s="1" t="s">
        <v>14</v>
      </c>
      <c r="B2" s="8">
        <v>45999</v>
      </c>
      <c r="C2" s="9">
        <v>0.72916666666666663</v>
      </c>
      <c r="D2" s="9">
        <v>0.77083333333333337</v>
      </c>
      <c r="E2" s="10">
        <f>D2-C2</f>
        <v>4.1666666666666741E-2</v>
      </c>
      <c r="F2" s="10">
        <v>0</v>
      </c>
      <c r="G2" s="1" t="s">
        <v>15</v>
      </c>
      <c r="H2" s="1" t="s">
        <v>16</v>
      </c>
      <c r="I2" s="1" t="s">
        <v>17</v>
      </c>
      <c r="J2" s="11"/>
      <c r="K2" s="6"/>
      <c r="L2" s="3" t="s">
        <v>18</v>
      </c>
      <c r="M2" s="4">
        <v>32</v>
      </c>
      <c r="N2" s="17"/>
    </row>
    <row r="3" spans="1:14" ht="45" hidden="1">
      <c r="A3" s="1" t="s">
        <v>19</v>
      </c>
      <c r="B3" s="8">
        <v>46001</v>
      </c>
      <c r="C3" s="9">
        <v>0.72916666666666663</v>
      </c>
      <c r="D3" s="9">
        <v>0.77083333333333337</v>
      </c>
      <c r="E3" s="10">
        <f>D3-C3</f>
        <v>4.1666666666666741E-2</v>
      </c>
      <c r="F3" s="10">
        <v>0</v>
      </c>
      <c r="G3" s="1" t="s">
        <v>15</v>
      </c>
      <c r="H3" s="1" t="s">
        <v>20</v>
      </c>
      <c r="I3" s="1" t="s">
        <v>21</v>
      </c>
      <c r="J3" s="11">
        <v>7</v>
      </c>
      <c r="K3" s="6"/>
      <c r="L3" s="3" t="s">
        <v>18</v>
      </c>
      <c r="M3" s="4">
        <v>36</v>
      </c>
      <c r="N3" s="17"/>
    </row>
    <row r="4" spans="1:14" ht="30">
      <c r="A4" s="1" t="s">
        <v>22</v>
      </c>
      <c r="B4" s="8">
        <v>46028</v>
      </c>
      <c r="C4" s="9">
        <v>0.5625</v>
      </c>
      <c r="D4" s="9">
        <v>0.625</v>
      </c>
      <c r="E4" s="10">
        <f t="shared" ref="E4:E95" si="0">D4-C4</f>
        <v>6.25E-2</v>
      </c>
      <c r="F4" s="10">
        <v>0</v>
      </c>
      <c r="G4" s="1" t="s">
        <v>23</v>
      </c>
      <c r="H4" s="1" t="s">
        <v>24</v>
      </c>
      <c r="I4" s="1" t="s">
        <v>25</v>
      </c>
      <c r="J4" s="11">
        <v>5</v>
      </c>
      <c r="K4" s="6"/>
      <c r="L4" s="3" t="s">
        <v>18</v>
      </c>
      <c r="M4" s="4">
        <v>22</v>
      </c>
      <c r="N4" s="17" t="s">
        <v>26</v>
      </c>
    </row>
    <row r="5" spans="1:14" ht="30">
      <c r="A5" s="1" t="s">
        <v>22</v>
      </c>
      <c r="B5" s="8">
        <v>46028</v>
      </c>
      <c r="C5" s="9">
        <v>0.5625</v>
      </c>
      <c r="D5" s="9">
        <v>0.625</v>
      </c>
      <c r="E5" s="10">
        <f t="shared" si="0"/>
        <v>6.25E-2</v>
      </c>
      <c r="F5" s="10">
        <v>0</v>
      </c>
      <c r="G5" s="1" t="s">
        <v>23</v>
      </c>
      <c r="H5" s="1" t="s">
        <v>27</v>
      </c>
      <c r="I5" s="1" t="s">
        <v>28</v>
      </c>
      <c r="J5" s="11">
        <v>5</v>
      </c>
      <c r="K5" s="6"/>
      <c r="L5" s="3" t="s">
        <v>18</v>
      </c>
      <c r="M5" s="4">
        <v>17</v>
      </c>
      <c r="N5" s="17" t="s">
        <v>29</v>
      </c>
    </row>
    <row r="6" spans="1:14" ht="45">
      <c r="A6" s="1" t="s">
        <v>22</v>
      </c>
      <c r="B6" s="8">
        <v>46028</v>
      </c>
      <c r="C6" s="9">
        <v>0.5625</v>
      </c>
      <c r="D6" s="9">
        <v>0.625</v>
      </c>
      <c r="E6" s="10">
        <f t="shared" si="0"/>
        <v>6.25E-2</v>
      </c>
      <c r="F6" s="10">
        <v>0</v>
      </c>
      <c r="G6" s="1" t="s">
        <v>30</v>
      </c>
      <c r="H6" s="1" t="s">
        <v>31</v>
      </c>
      <c r="I6" s="1" t="s">
        <v>32</v>
      </c>
      <c r="J6" s="11">
        <v>5</v>
      </c>
      <c r="K6" s="6"/>
      <c r="L6" s="3" t="s">
        <v>33</v>
      </c>
      <c r="M6" s="4">
        <v>97</v>
      </c>
      <c r="N6" s="17" t="s">
        <v>34</v>
      </c>
    </row>
    <row r="7" spans="1:14" ht="30">
      <c r="A7" s="1" t="s">
        <v>19</v>
      </c>
      <c r="B7" s="8">
        <v>46029</v>
      </c>
      <c r="C7" s="9">
        <v>0.375</v>
      </c>
      <c r="D7" s="9">
        <v>0.41666666666666669</v>
      </c>
      <c r="E7" s="10">
        <f t="shared" si="0"/>
        <v>4.1666666666666685E-2</v>
      </c>
      <c r="F7" s="10">
        <v>0</v>
      </c>
      <c r="G7" s="1" t="s">
        <v>35</v>
      </c>
      <c r="H7" s="1" t="s">
        <v>36</v>
      </c>
      <c r="I7" s="1" t="s">
        <v>37</v>
      </c>
      <c r="J7" s="11"/>
      <c r="K7" s="6"/>
      <c r="L7" s="3" t="s">
        <v>18</v>
      </c>
      <c r="M7" s="4">
        <v>72</v>
      </c>
      <c r="N7" s="17" t="s">
        <v>38</v>
      </c>
    </row>
    <row r="8" spans="1:14" ht="30">
      <c r="A8" s="1" t="s">
        <v>19</v>
      </c>
      <c r="B8" s="8">
        <v>46029</v>
      </c>
      <c r="C8" s="9">
        <v>0.375</v>
      </c>
      <c r="D8" s="9">
        <v>0.42708333333333331</v>
      </c>
      <c r="E8" s="10">
        <f t="shared" ref="E8" si="1">D8-C8</f>
        <v>5.2083333333333315E-2</v>
      </c>
      <c r="F8" s="10">
        <v>0</v>
      </c>
      <c r="G8" s="1" t="s">
        <v>35</v>
      </c>
      <c r="H8" s="1" t="s">
        <v>36</v>
      </c>
      <c r="I8" s="1" t="s">
        <v>37</v>
      </c>
      <c r="J8" s="11">
        <v>5</v>
      </c>
      <c r="K8" s="6" t="s">
        <v>39</v>
      </c>
      <c r="L8" s="3" t="s">
        <v>18</v>
      </c>
      <c r="M8" s="4">
        <v>6</v>
      </c>
      <c r="N8" s="17" t="s">
        <v>40</v>
      </c>
    </row>
    <row r="9" spans="1:14" ht="45">
      <c r="A9" s="1" t="s">
        <v>41</v>
      </c>
      <c r="B9" s="8">
        <v>46029</v>
      </c>
      <c r="C9" s="9">
        <v>0.5625</v>
      </c>
      <c r="D9" s="9">
        <v>0.625</v>
      </c>
      <c r="E9" s="10">
        <f t="shared" si="0"/>
        <v>6.25E-2</v>
      </c>
      <c r="F9" s="10">
        <v>0</v>
      </c>
      <c r="G9" s="1" t="s">
        <v>42</v>
      </c>
      <c r="H9" s="1" t="s">
        <v>43</v>
      </c>
      <c r="I9" s="1" t="s">
        <v>44</v>
      </c>
      <c r="J9" s="11">
        <v>5</v>
      </c>
      <c r="K9" s="6"/>
      <c r="L9" s="3" t="s">
        <v>33</v>
      </c>
      <c r="M9" s="4">
        <v>43</v>
      </c>
      <c r="N9" s="17" t="s">
        <v>26</v>
      </c>
    </row>
    <row r="10" spans="1:14">
      <c r="A10" s="1" t="s">
        <v>19</v>
      </c>
      <c r="B10" s="8">
        <v>46029</v>
      </c>
      <c r="C10" s="9">
        <v>0.5625</v>
      </c>
      <c r="D10" s="9">
        <v>0.625</v>
      </c>
      <c r="E10" s="10">
        <f t="shared" si="0"/>
        <v>6.25E-2</v>
      </c>
      <c r="F10" s="10">
        <v>0</v>
      </c>
      <c r="G10" s="1" t="s">
        <v>45</v>
      </c>
      <c r="H10" s="1" t="s">
        <v>46</v>
      </c>
      <c r="I10" s="1" t="s">
        <v>47</v>
      </c>
      <c r="J10" s="11">
        <v>5</v>
      </c>
      <c r="K10" s="6"/>
      <c r="L10" s="3" t="s">
        <v>33</v>
      </c>
      <c r="M10" s="4">
        <v>38</v>
      </c>
      <c r="N10" s="17" t="s">
        <v>48</v>
      </c>
    </row>
    <row r="11" spans="1:14">
      <c r="A11" s="1" t="s">
        <v>19</v>
      </c>
      <c r="B11" s="8">
        <v>46029</v>
      </c>
      <c r="C11" s="9">
        <v>0.5625</v>
      </c>
      <c r="D11" s="9">
        <v>0.625</v>
      </c>
      <c r="E11" s="10">
        <f t="shared" si="0"/>
        <v>6.25E-2</v>
      </c>
      <c r="F11" s="10">
        <v>0</v>
      </c>
      <c r="G11" s="1" t="s">
        <v>45</v>
      </c>
      <c r="H11" s="1" t="s">
        <v>46</v>
      </c>
      <c r="I11" s="1" t="s">
        <v>49</v>
      </c>
      <c r="J11" s="11">
        <v>5</v>
      </c>
      <c r="K11" s="6"/>
      <c r="L11" s="3" t="s">
        <v>33</v>
      </c>
      <c r="M11" s="4">
        <v>26</v>
      </c>
      <c r="N11" s="17" t="s">
        <v>50</v>
      </c>
    </row>
    <row r="12" spans="1:14" ht="30">
      <c r="A12" s="1" t="s">
        <v>51</v>
      </c>
      <c r="B12" s="8">
        <v>46030</v>
      </c>
      <c r="C12" s="9">
        <v>0.375</v>
      </c>
      <c r="D12" s="9">
        <v>0.4375</v>
      </c>
      <c r="E12" s="10">
        <f t="shared" si="0"/>
        <v>6.25E-2</v>
      </c>
      <c r="F12" s="10">
        <v>0</v>
      </c>
      <c r="G12" s="1" t="s">
        <v>52</v>
      </c>
      <c r="H12" s="1" t="s">
        <v>53</v>
      </c>
      <c r="I12" s="1" t="s">
        <v>44</v>
      </c>
      <c r="J12" s="11" t="s">
        <v>54</v>
      </c>
      <c r="K12" s="6"/>
      <c r="L12" s="3" t="s">
        <v>18</v>
      </c>
      <c r="M12" s="4">
        <v>47</v>
      </c>
      <c r="N12" s="23" t="s">
        <v>55</v>
      </c>
    </row>
    <row r="13" spans="1:14" ht="45">
      <c r="A13" s="1" t="s">
        <v>51</v>
      </c>
      <c r="B13" s="8">
        <v>46030</v>
      </c>
      <c r="C13" s="9">
        <v>0.375</v>
      </c>
      <c r="D13" s="9">
        <v>0.4375</v>
      </c>
      <c r="E13" s="10">
        <f t="shared" si="0"/>
        <v>6.25E-2</v>
      </c>
      <c r="F13" s="10">
        <v>0</v>
      </c>
      <c r="G13" s="1" t="s">
        <v>52</v>
      </c>
      <c r="H13" s="1" t="s">
        <v>56</v>
      </c>
      <c r="I13" s="1" t="s">
        <v>57</v>
      </c>
      <c r="J13" s="11" t="s">
        <v>54</v>
      </c>
      <c r="K13" s="6"/>
      <c r="L13" s="3" t="s">
        <v>18</v>
      </c>
      <c r="M13" s="4">
        <v>68</v>
      </c>
      <c r="N13" s="17" t="s">
        <v>38</v>
      </c>
    </row>
    <row r="14" spans="1:14" ht="45">
      <c r="A14" s="1" t="s">
        <v>51</v>
      </c>
      <c r="B14" s="8">
        <v>46030</v>
      </c>
      <c r="C14" s="9">
        <v>0.375</v>
      </c>
      <c r="D14" s="9">
        <v>0.4513888888888889</v>
      </c>
      <c r="E14" s="10">
        <f t="shared" ref="E14" si="2">D14-C14</f>
        <v>7.6388888888888895E-2</v>
      </c>
      <c r="F14" s="10">
        <v>0</v>
      </c>
      <c r="G14" s="1" t="s">
        <v>52</v>
      </c>
      <c r="H14" s="1" t="s">
        <v>56</v>
      </c>
      <c r="I14" s="1" t="s">
        <v>57</v>
      </c>
      <c r="J14" s="11" t="s">
        <v>54</v>
      </c>
      <c r="K14" s="6" t="s">
        <v>39</v>
      </c>
      <c r="L14" s="3" t="s">
        <v>18</v>
      </c>
      <c r="M14" s="4">
        <v>1</v>
      </c>
      <c r="N14" s="17" t="s">
        <v>58</v>
      </c>
    </row>
    <row r="15" spans="1:14">
      <c r="A15" s="1" t="s">
        <v>51</v>
      </c>
      <c r="B15" s="8">
        <v>46030</v>
      </c>
      <c r="C15" s="9">
        <v>0.375</v>
      </c>
      <c r="D15" s="9">
        <v>0.41666666666666669</v>
      </c>
      <c r="E15" s="10">
        <f t="shared" si="0"/>
        <v>4.1666666666666685E-2</v>
      </c>
      <c r="F15" s="10">
        <v>0</v>
      </c>
      <c r="G15" s="1" t="s">
        <v>59</v>
      </c>
      <c r="H15" s="1" t="s">
        <v>60</v>
      </c>
      <c r="I15" s="1" t="s">
        <v>37</v>
      </c>
      <c r="J15" s="11"/>
      <c r="K15" s="6"/>
      <c r="L15" s="3" t="s">
        <v>18</v>
      </c>
      <c r="M15" s="4">
        <v>71</v>
      </c>
      <c r="N15" s="17" t="s">
        <v>61</v>
      </c>
    </row>
    <row r="16" spans="1:14">
      <c r="A16" s="1" t="s">
        <v>51</v>
      </c>
      <c r="B16" s="8">
        <v>46030</v>
      </c>
      <c r="C16" s="9">
        <v>0.375</v>
      </c>
      <c r="D16" s="9">
        <v>0.42708333333333331</v>
      </c>
      <c r="E16" s="10">
        <f t="shared" ref="E16" si="3">D16-C16</f>
        <v>5.2083333333333315E-2</v>
      </c>
      <c r="F16" s="10">
        <v>0</v>
      </c>
      <c r="G16" s="1" t="s">
        <v>59</v>
      </c>
      <c r="H16" s="1" t="s">
        <v>60</v>
      </c>
      <c r="I16" s="1" t="s">
        <v>37</v>
      </c>
      <c r="J16" s="11"/>
      <c r="K16" s="6" t="s">
        <v>39</v>
      </c>
      <c r="L16" s="3" t="s">
        <v>18</v>
      </c>
      <c r="M16" s="4">
        <v>6</v>
      </c>
      <c r="N16" s="17" t="s">
        <v>62</v>
      </c>
    </row>
    <row r="17" spans="1:14" ht="30">
      <c r="A17" s="1" t="s">
        <v>51</v>
      </c>
      <c r="B17" s="8">
        <v>46030</v>
      </c>
      <c r="C17" s="9">
        <v>0.54166666666666663</v>
      </c>
      <c r="D17" s="9">
        <v>0.58333333333333337</v>
      </c>
      <c r="E17" s="10">
        <f t="shared" si="0"/>
        <v>4.1666666666666741E-2</v>
      </c>
      <c r="F17" s="10">
        <v>0</v>
      </c>
      <c r="G17" s="1" t="s">
        <v>63</v>
      </c>
      <c r="H17" s="1" t="s">
        <v>64</v>
      </c>
      <c r="I17" s="1" t="s">
        <v>65</v>
      </c>
      <c r="J17" s="11"/>
      <c r="K17" s="6"/>
      <c r="L17" s="3" t="s">
        <v>33</v>
      </c>
      <c r="M17" s="4">
        <v>21</v>
      </c>
      <c r="N17" s="24" t="s">
        <v>50</v>
      </c>
    </row>
    <row r="18" spans="1:14" ht="30">
      <c r="A18" s="1" t="s">
        <v>51</v>
      </c>
      <c r="B18" s="8">
        <v>46030</v>
      </c>
      <c r="C18" s="9">
        <v>0.54166666666666663</v>
      </c>
      <c r="D18" s="9">
        <v>0.59375</v>
      </c>
      <c r="E18" s="10">
        <f t="shared" ref="E18" si="4">D18-C18</f>
        <v>5.208333333333337E-2</v>
      </c>
      <c r="F18" s="10">
        <v>0</v>
      </c>
      <c r="G18" s="1" t="s">
        <v>63</v>
      </c>
      <c r="H18" s="1" t="s">
        <v>64</v>
      </c>
      <c r="I18" s="1" t="s">
        <v>65</v>
      </c>
      <c r="J18" s="11"/>
      <c r="K18" s="6" t="s">
        <v>39</v>
      </c>
      <c r="L18" s="3" t="s">
        <v>33</v>
      </c>
      <c r="M18" s="4">
        <v>1</v>
      </c>
      <c r="N18" s="24" t="s">
        <v>58</v>
      </c>
    </row>
    <row r="19" spans="1:14">
      <c r="A19" s="1" t="s">
        <v>51</v>
      </c>
      <c r="B19" s="8">
        <v>46030</v>
      </c>
      <c r="C19" s="9">
        <v>0.54166666666666663</v>
      </c>
      <c r="D19" s="9">
        <v>0.60416666666666663</v>
      </c>
      <c r="E19" s="10">
        <f t="shared" si="0"/>
        <v>6.25E-2</v>
      </c>
      <c r="F19" s="10">
        <v>0</v>
      </c>
      <c r="G19" s="1" t="s">
        <v>66</v>
      </c>
      <c r="H19" s="1" t="s">
        <v>67</v>
      </c>
      <c r="I19" s="1" t="s">
        <v>68</v>
      </c>
      <c r="J19" s="11">
        <v>3</v>
      </c>
      <c r="K19" s="6"/>
      <c r="L19" s="3" t="s">
        <v>33</v>
      </c>
      <c r="M19" s="4">
        <v>24</v>
      </c>
      <c r="N19" s="17" t="s">
        <v>48</v>
      </c>
    </row>
    <row r="20" spans="1:14">
      <c r="A20" s="1" t="s">
        <v>14</v>
      </c>
      <c r="B20" s="8">
        <v>46034</v>
      </c>
      <c r="C20" s="9">
        <v>0.375</v>
      </c>
      <c r="D20" s="9">
        <v>0.41666666666666669</v>
      </c>
      <c r="E20" s="10">
        <f t="shared" si="0"/>
        <v>4.1666666666666685E-2</v>
      </c>
      <c r="F20" s="10">
        <v>0</v>
      </c>
      <c r="G20" s="1" t="s">
        <v>69</v>
      </c>
      <c r="H20" s="1" t="s">
        <v>70</v>
      </c>
      <c r="I20" s="1" t="s">
        <v>71</v>
      </c>
      <c r="J20" s="11">
        <v>1</v>
      </c>
      <c r="K20" s="6"/>
      <c r="L20" s="3" t="s">
        <v>18</v>
      </c>
      <c r="M20" s="4">
        <v>97</v>
      </c>
      <c r="N20" s="17" t="s">
        <v>72</v>
      </c>
    </row>
    <row r="21" spans="1:14">
      <c r="A21" s="1" t="s">
        <v>14</v>
      </c>
      <c r="B21" s="8">
        <v>46034</v>
      </c>
      <c r="C21" s="9">
        <v>0.375</v>
      </c>
      <c r="D21" s="9">
        <v>0.41666666666666669</v>
      </c>
      <c r="E21" s="10">
        <f t="shared" si="0"/>
        <v>4.1666666666666685E-2</v>
      </c>
      <c r="F21" s="10">
        <v>0</v>
      </c>
      <c r="G21" s="1" t="s">
        <v>69</v>
      </c>
      <c r="H21" s="1" t="s">
        <v>70</v>
      </c>
      <c r="I21" s="1" t="s">
        <v>73</v>
      </c>
      <c r="J21" s="11">
        <v>1</v>
      </c>
      <c r="K21" s="6"/>
      <c r="L21" s="3" t="s">
        <v>18</v>
      </c>
      <c r="M21" s="32">
        <v>39</v>
      </c>
      <c r="N21" s="33" t="s">
        <v>74</v>
      </c>
    </row>
    <row r="22" spans="1:14">
      <c r="A22" s="1" t="s">
        <v>14</v>
      </c>
      <c r="B22" s="8">
        <v>46034</v>
      </c>
      <c r="C22" s="9">
        <v>0.375</v>
      </c>
      <c r="D22" s="9">
        <v>0.42708333333333331</v>
      </c>
      <c r="E22" s="10">
        <f t="shared" ref="E22" si="5">D22-C22</f>
        <v>5.2083333333333315E-2</v>
      </c>
      <c r="F22" s="10">
        <v>0</v>
      </c>
      <c r="G22" s="1" t="s">
        <v>69</v>
      </c>
      <c r="H22" s="1" t="s">
        <v>70</v>
      </c>
      <c r="I22" s="1" t="s">
        <v>73</v>
      </c>
      <c r="J22" s="11">
        <v>1</v>
      </c>
      <c r="K22" s="6" t="s">
        <v>39</v>
      </c>
      <c r="L22" s="3" t="s">
        <v>18</v>
      </c>
      <c r="M22" s="4">
        <v>3</v>
      </c>
      <c r="N22" s="17" t="s">
        <v>75</v>
      </c>
    </row>
    <row r="23" spans="1:14">
      <c r="A23" s="1" t="s">
        <v>14</v>
      </c>
      <c r="B23" s="8">
        <v>46034</v>
      </c>
      <c r="C23" s="9">
        <v>0.375</v>
      </c>
      <c r="D23" s="9">
        <v>0.4375</v>
      </c>
      <c r="E23" s="10">
        <f>D23-C23</f>
        <v>6.25E-2</v>
      </c>
      <c r="F23" s="10">
        <v>0</v>
      </c>
      <c r="G23" s="1" t="s">
        <v>76</v>
      </c>
      <c r="H23" s="1" t="s">
        <v>77</v>
      </c>
      <c r="I23" s="1" t="s">
        <v>78</v>
      </c>
      <c r="J23" s="11">
        <v>2</v>
      </c>
      <c r="K23" s="6"/>
      <c r="L23" s="3" t="s">
        <v>33</v>
      </c>
      <c r="M23" s="4">
        <v>11</v>
      </c>
      <c r="N23" s="17" t="s">
        <v>79</v>
      </c>
    </row>
    <row r="24" spans="1:14" ht="45" customHeight="1">
      <c r="A24" s="1" t="s">
        <v>14</v>
      </c>
      <c r="B24" s="8">
        <v>46034</v>
      </c>
      <c r="C24" s="44" t="s">
        <v>80</v>
      </c>
      <c r="D24" s="45"/>
      <c r="E24" s="45"/>
      <c r="F24" s="46"/>
      <c r="G24" s="1" t="s">
        <v>81</v>
      </c>
      <c r="H24" s="1" t="s">
        <v>82</v>
      </c>
      <c r="I24" s="1" t="s">
        <v>83</v>
      </c>
      <c r="J24" s="11"/>
      <c r="K24" s="6"/>
      <c r="L24" s="3" t="s">
        <v>84</v>
      </c>
      <c r="M24" s="4">
        <v>20</v>
      </c>
      <c r="N24" s="42" t="s">
        <v>85</v>
      </c>
    </row>
    <row r="25" spans="1:14" ht="30">
      <c r="A25" s="1" t="s">
        <v>14</v>
      </c>
      <c r="B25" s="8">
        <v>46034</v>
      </c>
      <c r="C25" s="47"/>
      <c r="D25" s="48"/>
      <c r="E25" s="48"/>
      <c r="F25" s="49"/>
      <c r="G25" s="1" t="s">
        <v>81</v>
      </c>
      <c r="H25" s="1" t="s">
        <v>82</v>
      </c>
      <c r="I25" s="1" t="s">
        <v>83</v>
      </c>
      <c r="J25" s="11"/>
      <c r="K25" s="6" t="s">
        <v>39</v>
      </c>
      <c r="L25" s="3" t="s">
        <v>84</v>
      </c>
      <c r="M25" s="4">
        <v>2</v>
      </c>
      <c r="N25" s="43"/>
    </row>
    <row r="26" spans="1:14" ht="30">
      <c r="A26" s="1" t="s">
        <v>14</v>
      </c>
      <c r="B26" s="8">
        <v>46034</v>
      </c>
      <c r="C26" s="9">
        <v>0.58333333333333337</v>
      </c>
      <c r="D26" s="9">
        <v>0.625</v>
      </c>
      <c r="E26" s="10">
        <f t="shared" si="0"/>
        <v>4.166666666666663E-2</v>
      </c>
      <c r="F26" s="10">
        <v>0</v>
      </c>
      <c r="G26" s="1" t="s">
        <v>86</v>
      </c>
      <c r="H26" s="1" t="s">
        <v>87</v>
      </c>
      <c r="I26" s="1" t="s">
        <v>88</v>
      </c>
      <c r="J26" s="11">
        <v>1</v>
      </c>
      <c r="K26" s="6"/>
      <c r="L26" s="3" t="s">
        <v>33</v>
      </c>
      <c r="M26" s="4">
        <v>30</v>
      </c>
      <c r="N26" s="17" t="s">
        <v>48</v>
      </c>
    </row>
    <row r="27" spans="1:14" ht="30">
      <c r="A27" s="1" t="s">
        <v>14</v>
      </c>
      <c r="B27" s="8">
        <v>46034</v>
      </c>
      <c r="C27" s="9">
        <v>0.58333333333333337</v>
      </c>
      <c r="D27" s="9">
        <v>0.625</v>
      </c>
      <c r="E27" s="10">
        <f t="shared" si="0"/>
        <v>4.166666666666663E-2</v>
      </c>
      <c r="F27" s="10">
        <v>0</v>
      </c>
      <c r="G27" s="1" t="s">
        <v>86</v>
      </c>
      <c r="H27" s="1" t="s">
        <v>89</v>
      </c>
      <c r="I27" s="1" t="s">
        <v>90</v>
      </c>
      <c r="J27" s="11">
        <v>1</v>
      </c>
      <c r="K27" s="6"/>
      <c r="L27" s="3" t="s">
        <v>33</v>
      </c>
      <c r="M27" s="4">
        <v>40</v>
      </c>
      <c r="N27" s="17" t="s">
        <v>38</v>
      </c>
    </row>
    <row r="28" spans="1:14" ht="30">
      <c r="A28" s="1" t="s">
        <v>14</v>
      </c>
      <c r="B28" s="8">
        <v>46034</v>
      </c>
      <c r="C28" s="9">
        <v>0.58333333333333337</v>
      </c>
      <c r="D28" s="9">
        <v>0.63541666666666663</v>
      </c>
      <c r="E28" s="10">
        <f t="shared" si="0"/>
        <v>5.2083333333333259E-2</v>
      </c>
      <c r="F28" s="10">
        <v>0</v>
      </c>
      <c r="G28" s="1" t="s">
        <v>86</v>
      </c>
      <c r="H28" s="1" t="s">
        <v>89</v>
      </c>
      <c r="I28" s="1" t="s">
        <v>90</v>
      </c>
      <c r="J28" s="11">
        <v>1</v>
      </c>
      <c r="K28" s="6" t="s">
        <v>39</v>
      </c>
      <c r="L28" s="3" t="s">
        <v>33</v>
      </c>
      <c r="M28" s="4">
        <v>1</v>
      </c>
      <c r="N28" s="17" t="s">
        <v>91</v>
      </c>
    </row>
    <row r="29" spans="1:14" ht="30">
      <c r="A29" s="1" t="s">
        <v>14</v>
      </c>
      <c r="B29" s="8">
        <v>46034</v>
      </c>
      <c r="C29" s="9">
        <v>0.58333333333333337</v>
      </c>
      <c r="D29" s="9">
        <v>0.625</v>
      </c>
      <c r="E29" s="10">
        <f t="shared" si="0"/>
        <v>4.166666666666663E-2</v>
      </c>
      <c r="F29" s="10">
        <v>0</v>
      </c>
      <c r="G29" s="1" t="s">
        <v>86</v>
      </c>
      <c r="H29" s="1" t="s">
        <v>89</v>
      </c>
      <c r="I29" s="1" t="s">
        <v>92</v>
      </c>
      <c r="J29" s="11">
        <v>1</v>
      </c>
      <c r="K29" s="6"/>
      <c r="L29" s="3" t="s">
        <v>33</v>
      </c>
      <c r="M29" s="4">
        <v>17</v>
      </c>
      <c r="N29" s="17" t="s">
        <v>40</v>
      </c>
    </row>
    <row r="30" spans="1:14">
      <c r="A30" s="1" t="s">
        <v>14</v>
      </c>
      <c r="B30" s="8">
        <v>46034</v>
      </c>
      <c r="C30" s="9">
        <v>0.58333333333333337</v>
      </c>
      <c r="D30" s="9">
        <v>0.625</v>
      </c>
      <c r="E30" s="10">
        <f t="shared" si="0"/>
        <v>4.166666666666663E-2</v>
      </c>
      <c r="F30" s="10">
        <v>0</v>
      </c>
      <c r="G30" s="1" t="s">
        <v>93</v>
      </c>
      <c r="H30" s="1" t="s">
        <v>94</v>
      </c>
      <c r="I30" s="1" t="s">
        <v>95</v>
      </c>
      <c r="J30" s="11">
        <v>1</v>
      </c>
      <c r="K30" s="6"/>
      <c r="L30" s="3" t="s">
        <v>18</v>
      </c>
      <c r="M30" s="4">
        <v>45</v>
      </c>
      <c r="N30" s="17" t="s">
        <v>26</v>
      </c>
    </row>
    <row r="31" spans="1:14">
      <c r="A31" s="1" t="s">
        <v>14</v>
      </c>
      <c r="B31" s="8">
        <v>46034</v>
      </c>
      <c r="C31" s="9">
        <v>0.58333333333333337</v>
      </c>
      <c r="D31" s="9">
        <v>0.63541666666666663</v>
      </c>
      <c r="E31" s="10">
        <f t="shared" ref="E31:E32" si="6">D31-C31</f>
        <v>5.2083333333333259E-2</v>
      </c>
      <c r="F31" s="10">
        <v>0</v>
      </c>
      <c r="G31" s="1" t="s">
        <v>93</v>
      </c>
      <c r="H31" s="1" t="s">
        <v>94</v>
      </c>
      <c r="I31" s="1" t="s">
        <v>95</v>
      </c>
      <c r="J31" s="11">
        <v>1</v>
      </c>
      <c r="K31" s="6" t="s">
        <v>39</v>
      </c>
      <c r="L31" s="3" t="s">
        <v>18</v>
      </c>
      <c r="M31" s="4">
        <v>2</v>
      </c>
      <c r="N31" s="24" t="s">
        <v>96</v>
      </c>
    </row>
    <row r="32" spans="1:14">
      <c r="A32" s="1" t="s">
        <v>14</v>
      </c>
      <c r="B32" s="8">
        <v>46034</v>
      </c>
      <c r="C32" s="9">
        <v>0.58333333333333337</v>
      </c>
      <c r="D32" s="9">
        <v>0.625</v>
      </c>
      <c r="E32" s="10">
        <f t="shared" si="6"/>
        <v>4.166666666666663E-2</v>
      </c>
      <c r="F32" s="10">
        <v>0</v>
      </c>
      <c r="G32" s="1" t="s">
        <v>93</v>
      </c>
      <c r="H32" s="1" t="s">
        <v>94</v>
      </c>
      <c r="I32" s="1" t="s">
        <v>97</v>
      </c>
      <c r="J32" s="11">
        <v>1</v>
      </c>
      <c r="K32" s="6"/>
      <c r="L32" s="3" t="s">
        <v>18</v>
      </c>
      <c r="M32" s="4">
        <v>33</v>
      </c>
      <c r="N32" s="17" t="s">
        <v>50</v>
      </c>
    </row>
    <row r="33" spans="1:14" ht="31.5" customHeight="1">
      <c r="A33" s="1" t="s">
        <v>14</v>
      </c>
      <c r="B33" s="8">
        <v>46034</v>
      </c>
      <c r="C33" s="9">
        <v>0.58333333333333337</v>
      </c>
      <c r="D33" s="9">
        <v>0.63541666666666663</v>
      </c>
      <c r="E33" s="10">
        <f t="shared" si="0"/>
        <v>5.2083333333333259E-2</v>
      </c>
      <c r="F33" s="10">
        <v>0</v>
      </c>
      <c r="G33" s="1" t="s">
        <v>93</v>
      </c>
      <c r="H33" s="1" t="s">
        <v>94</v>
      </c>
      <c r="I33" s="1" t="s">
        <v>97</v>
      </c>
      <c r="J33" s="11">
        <v>1</v>
      </c>
      <c r="K33" s="6" t="s">
        <v>39</v>
      </c>
      <c r="L33" s="3" t="s">
        <v>18</v>
      </c>
      <c r="M33" s="4">
        <v>1</v>
      </c>
      <c r="N33" s="17" t="s">
        <v>98</v>
      </c>
    </row>
    <row r="34" spans="1:14">
      <c r="A34" s="1" t="s">
        <v>22</v>
      </c>
      <c r="B34" s="8">
        <v>46035</v>
      </c>
      <c r="C34" s="9">
        <v>0.35416666666666669</v>
      </c>
      <c r="D34" s="9">
        <v>0.39583333333333331</v>
      </c>
      <c r="E34" s="10">
        <f t="shared" si="0"/>
        <v>4.166666666666663E-2</v>
      </c>
      <c r="F34" s="10">
        <v>0</v>
      </c>
      <c r="G34" s="1" t="s">
        <v>99</v>
      </c>
      <c r="H34" s="1" t="s">
        <v>100</v>
      </c>
      <c r="I34" s="1" t="s">
        <v>88</v>
      </c>
      <c r="J34" s="11"/>
      <c r="K34" s="6"/>
      <c r="L34" s="3" t="s">
        <v>18</v>
      </c>
      <c r="M34" s="4">
        <v>31</v>
      </c>
      <c r="N34" s="17" t="s">
        <v>50</v>
      </c>
    </row>
    <row r="35" spans="1:14">
      <c r="A35" s="1" t="s">
        <v>22</v>
      </c>
      <c r="B35" s="8">
        <v>46035</v>
      </c>
      <c r="C35" s="9">
        <v>0.35416666666666669</v>
      </c>
      <c r="D35" s="9">
        <v>0.39583333333333331</v>
      </c>
      <c r="E35" s="10">
        <f t="shared" si="0"/>
        <v>4.166666666666663E-2</v>
      </c>
      <c r="F35" s="10">
        <v>0</v>
      </c>
      <c r="G35" s="1" t="s">
        <v>99</v>
      </c>
      <c r="H35" s="1" t="s">
        <v>101</v>
      </c>
      <c r="I35" s="1" t="s">
        <v>90</v>
      </c>
      <c r="J35" s="11"/>
      <c r="K35" s="6"/>
      <c r="L35" s="3" t="s">
        <v>18</v>
      </c>
      <c r="M35" s="4">
        <v>43</v>
      </c>
      <c r="N35" s="17" t="s">
        <v>38</v>
      </c>
    </row>
    <row r="36" spans="1:14">
      <c r="A36" s="1" t="s">
        <v>22</v>
      </c>
      <c r="B36" s="8">
        <v>46035</v>
      </c>
      <c r="C36" s="9">
        <v>0.35416666666666669</v>
      </c>
      <c r="D36" s="9">
        <v>0.40625</v>
      </c>
      <c r="E36" s="10">
        <f t="shared" ref="E36" si="7">D36-C36</f>
        <v>5.2083333333333315E-2</v>
      </c>
      <c r="F36" s="10">
        <v>0</v>
      </c>
      <c r="G36" s="1" t="s">
        <v>99</v>
      </c>
      <c r="H36" s="1" t="s">
        <v>101</v>
      </c>
      <c r="I36" s="1" t="s">
        <v>90</v>
      </c>
      <c r="J36" s="11"/>
      <c r="K36" s="6" t="s">
        <v>39</v>
      </c>
      <c r="L36" s="3" t="s">
        <v>18</v>
      </c>
      <c r="M36" s="4">
        <v>1</v>
      </c>
      <c r="N36" s="17" t="s">
        <v>75</v>
      </c>
    </row>
    <row r="37" spans="1:14">
      <c r="A37" s="1" t="s">
        <v>22</v>
      </c>
      <c r="B37" s="8">
        <v>46035</v>
      </c>
      <c r="C37" s="9">
        <v>0.35416666666666669</v>
      </c>
      <c r="D37" s="9">
        <v>0.39583333333333331</v>
      </c>
      <c r="E37" s="10">
        <f t="shared" si="0"/>
        <v>4.166666666666663E-2</v>
      </c>
      <c r="F37" s="10">
        <v>0</v>
      </c>
      <c r="G37" s="1" t="s">
        <v>99</v>
      </c>
      <c r="H37" s="1" t="s">
        <v>101</v>
      </c>
      <c r="I37" s="1" t="s">
        <v>92</v>
      </c>
      <c r="J37" s="11"/>
      <c r="K37" s="6"/>
      <c r="L37" s="3" t="s">
        <v>18</v>
      </c>
      <c r="M37" s="4">
        <v>17</v>
      </c>
      <c r="N37" s="17" t="s">
        <v>79</v>
      </c>
    </row>
    <row r="38" spans="1:14">
      <c r="A38" s="1" t="s">
        <v>22</v>
      </c>
      <c r="B38" s="8">
        <v>46035</v>
      </c>
      <c r="C38" s="9">
        <v>0.4375</v>
      </c>
      <c r="D38" s="9">
        <v>0.47916666666666669</v>
      </c>
      <c r="E38" s="10">
        <f t="shared" si="0"/>
        <v>4.1666666666666685E-2</v>
      </c>
      <c r="F38" s="10">
        <v>0</v>
      </c>
      <c r="G38" s="1" t="s">
        <v>102</v>
      </c>
      <c r="H38" s="1" t="s">
        <v>103</v>
      </c>
      <c r="I38" s="1" t="s">
        <v>95</v>
      </c>
      <c r="J38" s="11">
        <v>1</v>
      </c>
      <c r="K38" s="6"/>
      <c r="L38" s="3" t="s">
        <v>18</v>
      </c>
      <c r="M38" s="4">
        <v>44</v>
      </c>
      <c r="N38" s="17" t="s">
        <v>38</v>
      </c>
    </row>
    <row r="39" spans="1:14">
      <c r="A39" s="1" t="s">
        <v>22</v>
      </c>
      <c r="B39" s="8">
        <v>46035</v>
      </c>
      <c r="C39" s="9">
        <v>0.4375</v>
      </c>
      <c r="D39" s="9">
        <v>0.48958333333333331</v>
      </c>
      <c r="E39" s="10">
        <f t="shared" ref="E39" si="8">D39-C39</f>
        <v>5.2083333333333315E-2</v>
      </c>
      <c r="F39" s="10">
        <v>0</v>
      </c>
      <c r="G39" s="1" t="s">
        <v>102</v>
      </c>
      <c r="H39" s="1" t="s">
        <v>103</v>
      </c>
      <c r="I39" s="1" t="s">
        <v>95</v>
      </c>
      <c r="J39" s="11">
        <v>1</v>
      </c>
      <c r="K39" s="6" t="s">
        <v>39</v>
      </c>
      <c r="L39" s="3" t="s">
        <v>18</v>
      </c>
      <c r="M39" s="4">
        <v>1</v>
      </c>
      <c r="N39" s="17" t="s">
        <v>104</v>
      </c>
    </row>
    <row r="40" spans="1:14">
      <c r="A40" s="1" t="s">
        <v>22</v>
      </c>
      <c r="B40" s="8">
        <v>46035</v>
      </c>
      <c r="C40" s="9">
        <v>0.4375</v>
      </c>
      <c r="D40" s="9">
        <v>0.47916666666666669</v>
      </c>
      <c r="E40" s="10">
        <f t="shared" si="0"/>
        <v>4.1666666666666685E-2</v>
      </c>
      <c r="F40" s="10">
        <v>0</v>
      </c>
      <c r="G40" s="1" t="s">
        <v>102</v>
      </c>
      <c r="H40" s="1" t="s">
        <v>103</v>
      </c>
      <c r="I40" s="1" t="s">
        <v>97</v>
      </c>
      <c r="J40" s="11">
        <v>1</v>
      </c>
      <c r="K40" s="6"/>
      <c r="L40" s="3" t="s">
        <v>18</v>
      </c>
      <c r="M40" s="4">
        <v>37</v>
      </c>
      <c r="N40" s="17" t="s">
        <v>48</v>
      </c>
    </row>
    <row r="41" spans="1:14">
      <c r="A41" s="1" t="s">
        <v>22</v>
      </c>
      <c r="B41" s="8">
        <v>46035</v>
      </c>
      <c r="C41" s="9">
        <v>0.4375</v>
      </c>
      <c r="D41" s="9">
        <v>0.48958333333333331</v>
      </c>
      <c r="E41" s="10">
        <f t="shared" ref="E41" si="9">D41-C41</f>
        <v>5.2083333333333315E-2</v>
      </c>
      <c r="F41" s="10">
        <v>0</v>
      </c>
      <c r="G41" s="1" t="s">
        <v>102</v>
      </c>
      <c r="H41" s="1" t="s">
        <v>103</v>
      </c>
      <c r="I41" s="1" t="s">
        <v>97</v>
      </c>
      <c r="J41" s="11">
        <v>1</v>
      </c>
      <c r="K41" s="6" t="s">
        <v>39</v>
      </c>
      <c r="L41" s="3" t="s">
        <v>18</v>
      </c>
      <c r="M41" s="4">
        <v>1</v>
      </c>
      <c r="N41" s="17" t="s">
        <v>91</v>
      </c>
    </row>
    <row r="42" spans="1:14">
      <c r="A42" s="1" t="s">
        <v>22</v>
      </c>
      <c r="B42" s="8">
        <v>46035</v>
      </c>
      <c r="C42" s="9">
        <v>0.4375</v>
      </c>
      <c r="D42" s="9">
        <v>0.47916666666666669</v>
      </c>
      <c r="E42" s="10">
        <f t="shared" si="0"/>
        <v>4.1666666666666685E-2</v>
      </c>
      <c r="F42" s="10">
        <v>0</v>
      </c>
      <c r="G42" s="1" t="s">
        <v>102</v>
      </c>
      <c r="H42" s="1" t="s">
        <v>103</v>
      </c>
      <c r="I42" s="1" t="s">
        <v>105</v>
      </c>
      <c r="J42" s="11">
        <v>1</v>
      </c>
      <c r="K42" s="6"/>
      <c r="L42" s="3" t="s">
        <v>18</v>
      </c>
      <c r="M42" s="4">
        <v>29</v>
      </c>
      <c r="N42" s="17" t="s">
        <v>50</v>
      </c>
    </row>
    <row r="43" spans="1:14">
      <c r="A43" s="1" t="s">
        <v>22</v>
      </c>
      <c r="B43" s="8">
        <v>46035</v>
      </c>
      <c r="C43" s="9">
        <v>0.4375</v>
      </c>
      <c r="D43" s="9">
        <v>0.48958333333333331</v>
      </c>
      <c r="E43" s="10">
        <f t="shared" si="0"/>
        <v>5.2083333333333315E-2</v>
      </c>
      <c r="F43" s="10">
        <v>0</v>
      </c>
      <c r="G43" s="1" t="s">
        <v>102</v>
      </c>
      <c r="H43" s="1" t="s">
        <v>103</v>
      </c>
      <c r="I43" s="1" t="s">
        <v>105</v>
      </c>
      <c r="J43" s="11">
        <v>1</v>
      </c>
      <c r="K43" s="6" t="s">
        <v>39</v>
      </c>
      <c r="L43" s="3" t="s">
        <v>18</v>
      </c>
      <c r="M43" s="4">
        <v>3</v>
      </c>
      <c r="N43" s="17" t="s">
        <v>98</v>
      </c>
    </row>
    <row r="44" spans="1:14" ht="35.25" customHeight="1">
      <c r="A44" s="1" t="s">
        <v>22</v>
      </c>
      <c r="B44" s="8">
        <v>46035</v>
      </c>
      <c r="C44" s="9">
        <v>0.54166666666666663</v>
      </c>
      <c r="D44" s="9">
        <v>0.625</v>
      </c>
      <c r="E44" s="10">
        <f t="shared" si="0"/>
        <v>8.333333333333337E-2</v>
      </c>
      <c r="F44" s="10">
        <v>0</v>
      </c>
      <c r="G44" s="1" t="s">
        <v>106</v>
      </c>
      <c r="H44" s="1" t="s">
        <v>107</v>
      </c>
      <c r="I44" s="1" t="s">
        <v>108</v>
      </c>
      <c r="J44" s="11">
        <v>5</v>
      </c>
      <c r="K44" s="6"/>
      <c r="L44" s="3" t="s">
        <v>18</v>
      </c>
      <c r="M44" s="4">
        <v>21</v>
      </c>
      <c r="N44" s="17" t="s">
        <v>50</v>
      </c>
    </row>
    <row r="45" spans="1:14">
      <c r="A45" s="1" t="s">
        <v>22</v>
      </c>
      <c r="B45" s="8">
        <v>46035</v>
      </c>
      <c r="C45" s="9">
        <v>0.54166666666666663</v>
      </c>
      <c r="D45" s="9">
        <v>0.625</v>
      </c>
      <c r="E45" s="10">
        <f t="shared" si="0"/>
        <v>8.333333333333337E-2</v>
      </c>
      <c r="F45" s="10">
        <v>0</v>
      </c>
      <c r="G45" s="1" t="s">
        <v>106</v>
      </c>
      <c r="H45" s="1" t="s">
        <v>109</v>
      </c>
      <c r="I45" s="1" t="s">
        <v>110</v>
      </c>
      <c r="J45" s="11">
        <v>5</v>
      </c>
      <c r="K45" s="6"/>
      <c r="L45" s="3" t="s">
        <v>18</v>
      </c>
      <c r="M45" s="4">
        <v>28</v>
      </c>
      <c r="N45" s="17" t="s">
        <v>48</v>
      </c>
    </row>
    <row r="46" spans="1:14" ht="30">
      <c r="A46" s="1" t="s">
        <v>22</v>
      </c>
      <c r="B46" s="8">
        <v>46035</v>
      </c>
      <c r="C46" s="9">
        <v>0.54166666666666663</v>
      </c>
      <c r="D46" s="9">
        <v>0.625</v>
      </c>
      <c r="E46" s="10">
        <f t="shared" si="0"/>
        <v>8.333333333333337E-2</v>
      </c>
      <c r="F46" s="10">
        <v>0</v>
      </c>
      <c r="G46" s="1" t="s">
        <v>106</v>
      </c>
      <c r="H46" s="1" t="s">
        <v>111</v>
      </c>
      <c r="I46" s="1" t="s">
        <v>112</v>
      </c>
      <c r="J46" s="11"/>
      <c r="K46" s="6"/>
      <c r="L46" s="3" t="s">
        <v>18</v>
      </c>
      <c r="M46" s="4">
        <v>32</v>
      </c>
      <c r="N46" s="17" t="s">
        <v>38</v>
      </c>
    </row>
    <row r="47" spans="1:14" ht="30" customHeight="1">
      <c r="A47" s="1" t="s">
        <v>22</v>
      </c>
      <c r="B47" s="8">
        <v>46035</v>
      </c>
      <c r="C47" s="9">
        <v>0.60416666666666663</v>
      </c>
      <c r="D47" s="9">
        <v>0.66666666666666663</v>
      </c>
      <c r="E47" s="10">
        <f t="shared" si="0"/>
        <v>6.25E-2</v>
      </c>
      <c r="F47" s="10">
        <v>0</v>
      </c>
      <c r="G47" s="1" t="s">
        <v>113</v>
      </c>
      <c r="H47" s="1" t="s">
        <v>114</v>
      </c>
      <c r="I47" s="1" t="s">
        <v>71</v>
      </c>
      <c r="J47" s="11">
        <v>1</v>
      </c>
      <c r="K47" s="6"/>
      <c r="L47" s="3" t="s">
        <v>18</v>
      </c>
      <c r="M47" s="34">
        <v>95</v>
      </c>
      <c r="N47" s="25" t="s">
        <v>61</v>
      </c>
    </row>
    <row r="48" spans="1:14" ht="30">
      <c r="A48" s="1" t="s">
        <v>22</v>
      </c>
      <c r="B48" s="8">
        <v>46035</v>
      </c>
      <c r="C48" s="9">
        <v>0.60416666666666663</v>
      </c>
      <c r="D48" s="9">
        <v>0.66666666666666663</v>
      </c>
      <c r="E48" s="10">
        <f t="shared" si="0"/>
        <v>6.25E-2</v>
      </c>
      <c r="F48" s="10">
        <v>0</v>
      </c>
      <c r="G48" s="1" t="s">
        <v>113</v>
      </c>
      <c r="H48" s="1" t="s">
        <v>114</v>
      </c>
      <c r="I48" s="1" t="s">
        <v>73</v>
      </c>
      <c r="J48" s="11">
        <v>1</v>
      </c>
      <c r="K48" s="6"/>
      <c r="L48" s="3" t="s">
        <v>18</v>
      </c>
      <c r="M48" s="34">
        <v>37</v>
      </c>
      <c r="N48" s="25">
        <v>1.0129999999999999</v>
      </c>
    </row>
    <row r="49" spans="1:14" ht="30">
      <c r="A49" s="1" t="s">
        <v>22</v>
      </c>
      <c r="B49" s="8">
        <v>46035</v>
      </c>
      <c r="C49" s="9">
        <v>0.60416666666666663</v>
      </c>
      <c r="D49" s="9">
        <v>0.68402777777777779</v>
      </c>
      <c r="E49" s="10">
        <f t="shared" ref="E49" si="10">D49-C49</f>
        <v>7.986111111111116E-2</v>
      </c>
      <c r="F49" s="10">
        <v>0</v>
      </c>
      <c r="G49" s="1" t="s">
        <v>113</v>
      </c>
      <c r="H49" s="1" t="s">
        <v>114</v>
      </c>
      <c r="I49" s="1" t="s">
        <v>73</v>
      </c>
      <c r="J49" s="11">
        <v>1</v>
      </c>
      <c r="K49" s="6" t="s">
        <v>39</v>
      </c>
      <c r="L49" s="3" t="s">
        <v>18</v>
      </c>
      <c r="M49" s="4">
        <v>3</v>
      </c>
      <c r="N49" s="25" t="s">
        <v>79</v>
      </c>
    </row>
    <row r="50" spans="1:14">
      <c r="A50" s="1" t="s">
        <v>19</v>
      </c>
      <c r="B50" s="8">
        <v>46036</v>
      </c>
      <c r="C50" s="9">
        <v>0.35416666666666669</v>
      </c>
      <c r="D50" s="9">
        <v>0.39583333333333331</v>
      </c>
      <c r="E50" s="10">
        <f t="shared" si="0"/>
        <v>4.166666666666663E-2</v>
      </c>
      <c r="F50" s="10">
        <v>0</v>
      </c>
      <c r="G50" s="1" t="s">
        <v>115</v>
      </c>
      <c r="H50" s="1" t="s">
        <v>116</v>
      </c>
      <c r="I50" s="1" t="s">
        <v>92</v>
      </c>
      <c r="J50" s="11">
        <v>1</v>
      </c>
      <c r="K50" s="6"/>
      <c r="L50" s="3" t="s">
        <v>33</v>
      </c>
      <c r="M50" s="4">
        <v>19</v>
      </c>
      <c r="N50" s="17" t="s">
        <v>40</v>
      </c>
    </row>
    <row r="51" spans="1:14">
      <c r="A51" s="1" t="s">
        <v>19</v>
      </c>
      <c r="B51" s="8">
        <v>46036</v>
      </c>
      <c r="C51" s="9">
        <v>0.35416666666666669</v>
      </c>
      <c r="D51" s="9">
        <v>0.39583333333333331</v>
      </c>
      <c r="E51" s="10">
        <f t="shared" si="0"/>
        <v>4.166666666666663E-2</v>
      </c>
      <c r="F51" s="10">
        <v>0</v>
      </c>
      <c r="G51" s="1" t="s">
        <v>117</v>
      </c>
      <c r="H51" s="1" t="s">
        <v>118</v>
      </c>
      <c r="I51" s="1" t="s">
        <v>105</v>
      </c>
      <c r="J51" s="11">
        <v>1</v>
      </c>
      <c r="K51" s="6"/>
      <c r="L51" s="3" t="s">
        <v>18</v>
      </c>
      <c r="M51" s="4">
        <v>33</v>
      </c>
      <c r="N51" s="17" t="s">
        <v>48</v>
      </c>
    </row>
    <row r="52" spans="1:14">
      <c r="A52" s="1" t="s">
        <v>19</v>
      </c>
      <c r="B52" s="8">
        <v>46036</v>
      </c>
      <c r="C52" s="9">
        <v>0.35416666666666669</v>
      </c>
      <c r="D52" s="9">
        <v>0.40625</v>
      </c>
      <c r="E52" s="10">
        <f t="shared" ref="E52" si="11">D52-C52</f>
        <v>5.2083333333333315E-2</v>
      </c>
      <c r="F52" s="10">
        <v>0</v>
      </c>
      <c r="G52" s="1" t="s">
        <v>117</v>
      </c>
      <c r="H52" s="1" t="s">
        <v>118</v>
      </c>
      <c r="I52" s="1" t="s">
        <v>105</v>
      </c>
      <c r="J52" s="11">
        <v>1</v>
      </c>
      <c r="K52" s="6" t="s">
        <v>39</v>
      </c>
      <c r="L52" s="3" t="s">
        <v>18</v>
      </c>
      <c r="M52" s="4">
        <v>2</v>
      </c>
      <c r="N52" s="17" t="s">
        <v>79</v>
      </c>
    </row>
    <row r="53" spans="1:14">
      <c r="A53" s="1" t="s">
        <v>19</v>
      </c>
      <c r="B53" s="8">
        <v>46036</v>
      </c>
      <c r="C53" s="9">
        <v>0.375</v>
      </c>
      <c r="D53" s="9">
        <v>0.4375</v>
      </c>
      <c r="E53" s="10">
        <f>D53-C53</f>
        <v>6.25E-2</v>
      </c>
      <c r="F53" s="10">
        <v>0</v>
      </c>
      <c r="G53" s="1" t="s">
        <v>119</v>
      </c>
      <c r="H53" s="1" t="s">
        <v>120</v>
      </c>
      <c r="I53" s="1" t="s">
        <v>121</v>
      </c>
      <c r="J53" s="11">
        <v>3</v>
      </c>
      <c r="K53" s="6"/>
      <c r="L53" s="3" t="s">
        <v>33</v>
      </c>
      <c r="M53" s="4">
        <v>43</v>
      </c>
      <c r="N53" s="17" t="s">
        <v>38</v>
      </c>
    </row>
    <row r="54" spans="1:14">
      <c r="A54" s="1" t="s">
        <v>19</v>
      </c>
      <c r="B54" s="8">
        <v>46036</v>
      </c>
      <c r="C54" s="9">
        <v>0.375</v>
      </c>
      <c r="D54" s="9">
        <v>0.4375</v>
      </c>
      <c r="E54" s="10">
        <f>D54-C54</f>
        <v>6.25E-2</v>
      </c>
      <c r="F54" s="10">
        <v>0</v>
      </c>
      <c r="G54" s="1" t="s">
        <v>122</v>
      </c>
      <c r="H54" s="1" t="s">
        <v>123</v>
      </c>
      <c r="I54" s="1" t="s">
        <v>124</v>
      </c>
      <c r="J54" s="11">
        <v>2</v>
      </c>
      <c r="K54" s="6"/>
      <c r="L54" s="3" t="s">
        <v>18</v>
      </c>
      <c r="M54" s="4">
        <v>14</v>
      </c>
      <c r="N54" s="17" t="s">
        <v>125</v>
      </c>
    </row>
    <row r="55" spans="1:14">
      <c r="A55" s="1" t="s">
        <v>19</v>
      </c>
      <c r="B55" s="8">
        <v>46036</v>
      </c>
      <c r="C55" s="9">
        <v>0.45833333333333331</v>
      </c>
      <c r="D55" s="9">
        <v>0.5</v>
      </c>
      <c r="E55" s="10">
        <f t="shared" ref="E55" si="12">D55-C55</f>
        <v>4.1666666666666685E-2</v>
      </c>
      <c r="F55" s="10">
        <v>0</v>
      </c>
      <c r="G55" s="1" t="s">
        <v>117</v>
      </c>
      <c r="H55" s="1" t="s">
        <v>118</v>
      </c>
      <c r="I55" s="1" t="s">
        <v>105</v>
      </c>
      <c r="J55" s="11">
        <v>1</v>
      </c>
      <c r="K55" s="6" t="s">
        <v>39</v>
      </c>
      <c r="L55" s="3" t="s">
        <v>18</v>
      </c>
      <c r="M55" s="4">
        <v>1</v>
      </c>
      <c r="N55" s="17" t="s">
        <v>75</v>
      </c>
    </row>
    <row r="56" spans="1:14">
      <c r="A56" s="1" t="s">
        <v>19</v>
      </c>
      <c r="B56" s="8">
        <v>46036</v>
      </c>
      <c r="C56" s="9">
        <v>0.4375</v>
      </c>
      <c r="D56" s="9">
        <v>0.47916666666666669</v>
      </c>
      <c r="E56" s="10">
        <f t="shared" si="0"/>
        <v>4.1666666666666685E-2</v>
      </c>
      <c r="F56" s="10">
        <v>0</v>
      </c>
      <c r="G56" s="1" t="s">
        <v>126</v>
      </c>
      <c r="H56" s="1" t="s">
        <v>127</v>
      </c>
      <c r="I56" s="1" t="s">
        <v>128</v>
      </c>
      <c r="J56" s="11"/>
      <c r="K56" s="6"/>
      <c r="L56" s="3" t="s">
        <v>18</v>
      </c>
      <c r="M56" s="4">
        <v>20</v>
      </c>
      <c r="N56" s="17" t="s">
        <v>79</v>
      </c>
    </row>
    <row r="57" spans="1:14">
      <c r="A57" s="1" t="s">
        <v>19</v>
      </c>
      <c r="B57" s="8">
        <v>46036</v>
      </c>
      <c r="C57" s="9">
        <v>0.4375</v>
      </c>
      <c r="D57" s="9">
        <v>0.48958333333333331</v>
      </c>
      <c r="E57" s="10">
        <f t="shared" ref="E57" si="13">D57-C57</f>
        <v>5.2083333333333315E-2</v>
      </c>
      <c r="F57" s="10">
        <v>0</v>
      </c>
      <c r="G57" s="1" t="s">
        <v>126</v>
      </c>
      <c r="H57" s="1" t="s">
        <v>127</v>
      </c>
      <c r="I57" s="1" t="s">
        <v>128</v>
      </c>
      <c r="J57" s="11"/>
      <c r="K57" s="6" t="s">
        <v>39</v>
      </c>
      <c r="L57" s="3" t="s">
        <v>18</v>
      </c>
      <c r="M57" s="4">
        <v>2</v>
      </c>
      <c r="N57" s="17" t="s">
        <v>129</v>
      </c>
    </row>
    <row r="58" spans="1:14">
      <c r="A58" s="1" t="s">
        <v>19</v>
      </c>
      <c r="B58" s="8">
        <v>46036</v>
      </c>
      <c r="C58" s="9">
        <v>0.54166666666666663</v>
      </c>
      <c r="D58" s="9">
        <v>0.58333333333333337</v>
      </c>
      <c r="E58" s="10">
        <f t="shared" si="0"/>
        <v>4.1666666666666741E-2</v>
      </c>
      <c r="F58" s="10">
        <v>0</v>
      </c>
      <c r="G58" s="1" t="s">
        <v>130</v>
      </c>
      <c r="H58" s="1" t="s">
        <v>131</v>
      </c>
      <c r="I58" s="1" t="s">
        <v>68</v>
      </c>
      <c r="J58" s="11">
        <v>3</v>
      </c>
      <c r="K58" s="6"/>
      <c r="L58" s="3" t="s">
        <v>18</v>
      </c>
      <c r="M58" s="4">
        <v>24</v>
      </c>
      <c r="N58" s="23" t="s">
        <v>62</v>
      </c>
    </row>
    <row r="59" spans="1:14" ht="45">
      <c r="A59" s="1" t="s">
        <v>19</v>
      </c>
      <c r="B59" s="8">
        <v>46036</v>
      </c>
      <c r="C59" s="9">
        <v>0.5625</v>
      </c>
      <c r="D59" s="9">
        <v>0.625</v>
      </c>
      <c r="E59" s="10">
        <f t="shared" si="0"/>
        <v>6.25E-2</v>
      </c>
      <c r="F59" s="10">
        <v>0</v>
      </c>
      <c r="G59" s="1" t="s">
        <v>132</v>
      </c>
      <c r="H59" s="1" t="s">
        <v>133</v>
      </c>
      <c r="I59" s="1" t="s">
        <v>134</v>
      </c>
      <c r="J59" s="11">
        <v>3</v>
      </c>
      <c r="K59" s="6"/>
      <c r="L59" s="3" t="s">
        <v>33</v>
      </c>
      <c r="M59" s="4">
        <v>22</v>
      </c>
      <c r="N59" s="17" t="s">
        <v>29</v>
      </c>
    </row>
    <row r="60" spans="1:14">
      <c r="A60" s="1" t="s">
        <v>19</v>
      </c>
      <c r="B60" s="8">
        <v>46036</v>
      </c>
      <c r="C60" s="9">
        <v>0.5625</v>
      </c>
      <c r="D60" s="9">
        <v>0.625</v>
      </c>
      <c r="E60" s="10">
        <f>D60-C60</f>
        <v>6.25E-2</v>
      </c>
      <c r="F60" s="10">
        <v>0</v>
      </c>
      <c r="G60" s="1" t="s">
        <v>132</v>
      </c>
      <c r="H60" s="1" t="s">
        <v>135</v>
      </c>
      <c r="I60" s="1" t="s">
        <v>136</v>
      </c>
      <c r="J60" s="11">
        <v>3</v>
      </c>
      <c r="K60" s="6"/>
      <c r="L60" s="3" t="s">
        <v>33</v>
      </c>
      <c r="M60" s="4">
        <v>21</v>
      </c>
      <c r="N60" s="17" t="s">
        <v>79</v>
      </c>
    </row>
    <row r="61" spans="1:14" ht="30">
      <c r="A61" s="1" t="s">
        <v>19</v>
      </c>
      <c r="B61" s="8">
        <v>46036</v>
      </c>
      <c r="C61" s="9">
        <v>0.5625</v>
      </c>
      <c r="D61" s="9">
        <v>0.625</v>
      </c>
      <c r="E61" s="10">
        <f t="shared" si="0"/>
        <v>6.25E-2</v>
      </c>
      <c r="F61" s="10">
        <v>0</v>
      </c>
      <c r="G61" s="1" t="s">
        <v>137</v>
      </c>
      <c r="H61" s="1" t="s">
        <v>120</v>
      </c>
      <c r="I61" s="1" t="s">
        <v>138</v>
      </c>
      <c r="J61" s="11">
        <v>1</v>
      </c>
      <c r="K61" s="6"/>
      <c r="L61" s="3" t="s">
        <v>33</v>
      </c>
      <c r="M61" s="4">
        <v>39</v>
      </c>
      <c r="N61" s="17" t="s">
        <v>26</v>
      </c>
    </row>
    <row r="62" spans="1:14" ht="30">
      <c r="A62" s="1" t="s">
        <v>19</v>
      </c>
      <c r="B62" s="8">
        <v>46036</v>
      </c>
      <c r="C62" s="9">
        <v>0.5625</v>
      </c>
      <c r="D62" s="9">
        <v>0.64236111111111116</v>
      </c>
      <c r="E62" s="10">
        <f t="shared" ref="E62" si="14">D62-C62</f>
        <v>7.986111111111116E-2</v>
      </c>
      <c r="F62" s="10">
        <v>0</v>
      </c>
      <c r="G62" s="1" t="s">
        <v>137</v>
      </c>
      <c r="H62" s="1" t="s">
        <v>120</v>
      </c>
      <c r="I62" s="1" t="s">
        <v>138</v>
      </c>
      <c r="J62" s="11">
        <v>1</v>
      </c>
      <c r="K62" s="6" t="s">
        <v>39</v>
      </c>
      <c r="L62" s="3" t="s">
        <v>33</v>
      </c>
      <c r="M62" s="4">
        <v>1</v>
      </c>
      <c r="N62" s="17" t="s">
        <v>75</v>
      </c>
    </row>
    <row r="63" spans="1:14" ht="45">
      <c r="A63" s="1" t="s">
        <v>19</v>
      </c>
      <c r="B63" s="8">
        <v>46036</v>
      </c>
      <c r="C63" s="9">
        <v>0.5625</v>
      </c>
      <c r="D63" s="9">
        <v>0.625</v>
      </c>
      <c r="E63" s="10">
        <f t="shared" si="0"/>
        <v>6.25E-2</v>
      </c>
      <c r="F63" s="10">
        <v>0</v>
      </c>
      <c r="G63" s="1" t="s">
        <v>137</v>
      </c>
      <c r="H63" s="1" t="s">
        <v>133</v>
      </c>
      <c r="I63" s="1" t="s">
        <v>139</v>
      </c>
      <c r="J63" s="11">
        <v>3</v>
      </c>
      <c r="K63" s="6"/>
      <c r="L63" s="3" t="s">
        <v>33</v>
      </c>
      <c r="M63" s="4">
        <v>81</v>
      </c>
      <c r="N63" s="23" t="s">
        <v>38</v>
      </c>
    </row>
    <row r="64" spans="1:14" ht="45">
      <c r="A64" s="1" t="s">
        <v>19</v>
      </c>
      <c r="B64" s="8">
        <v>46036</v>
      </c>
      <c r="C64" s="9">
        <v>0.5625</v>
      </c>
      <c r="D64" s="9">
        <v>0.64236111111111116</v>
      </c>
      <c r="E64" s="10">
        <f t="shared" ref="E64" si="15">D64-C64</f>
        <v>7.986111111111116E-2</v>
      </c>
      <c r="F64" s="10">
        <v>0</v>
      </c>
      <c r="G64" s="1" t="s">
        <v>137</v>
      </c>
      <c r="H64" s="1" t="s">
        <v>133</v>
      </c>
      <c r="I64" s="1" t="s">
        <v>139</v>
      </c>
      <c r="J64" s="11">
        <v>3</v>
      </c>
      <c r="K64" s="6" t="s">
        <v>39</v>
      </c>
      <c r="L64" s="3" t="s">
        <v>33</v>
      </c>
      <c r="M64" s="4">
        <v>1</v>
      </c>
      <c r="N64" s="17" t="s">
        <v>40</v>
      </c>
    </row>
    <row r="65" spans="1:14" ht="45">
      <c r="A65" s="1" t="s">
        <v>51</v>
      </c>
      <c r="B65" s="8">
        <v>46037</v>
      </c>
      <c r="C65" s="9">
        <v>0.375</v>
      </c>
      <c r="D65" s="9">
        <v>0.41666666666666669</v>
      </c>
      <c r="E65" s="10">
        <f t="shared" si="0"/>
        <v>4.1666666666666685E-2</v>
      </c>
      <c r="F65" s="10">
        <v>0</v>
      </c>
      <c r="G65" s="1" t="s">
        <v>140</v>
      </c>
      <c r="H65" s="1" t="s">
        <v>141</v>
      </c>
      <c r="I65" s="1" t="s">
        <v>142</v>
      </c>
      <c r="J65" s="11"/>
      <c r="K65" s="6"/>
      <c r="L65" s="3" t="s">
        <v>18</v>
      </c>
      <c r="M65" s="4">
        <v>16</v>
      </c>
      <c r="N65" s="17" t="s">
        <v>40</v>
      </c>
    </row>
    <row r="66" spans="1:14" ht="30">
      <c r="A66" s="1" t="s">
        <v>51</v>
      </c>
      <c r="B66" s="8">
        <v>46037</v>
      </c>
      <c r="C66" s="9">
        <v>0.375</v>
      </c>
      <c r="D66" s="9">
        <v>0.4375</v>
      </c>
      <c r="E66" s="10">
        <f>D66-C66</f>
        <v>6.25E-2</v>
      </c>
      <c r="F66" s="10">
        <v>0</v>
      </c>
      <c r="G66" s="1" t="s">
        <v>143</v>
      </c>
      <c r="H66" s="1" t="s">
        <v>144</v>
      </c>
      <c r="I66" s="1" t="s">
        <v>142</v>
      </c>
      <c r="J66" s="11"/>
      <c r="K66" s="6"/>
      <c r="L66" s="3" t="s">
        <v>18</v>
      </c>
      <c r="M66" s="4">
        <v>14</v>
      </c>
      <c r="N66" s="17" t="s">
        <v>125</v>
      </c>
    </row>
    <row r="67" spans="1:14" ht="45">
      <c r="A67" s="1" t="s">
        <v>51</v>
      </c>
      <c r="B67" s="8">
        <v>46037</v>
      </c>
      <c r="C67" s="9">
        <v>0.39583333333333331</v>
      </c>
      <c r="D67" s="9">
        <v>0.45833333333333331</v>
      </c>
      <c r="E67" s="10">
        <f t="shared" si="0"/>
        <v>6.25E-2</v>
      </c>
      <c r="F67" s="10">
        <v>0</v>
      </c>
      <c r="G67" s="1" t="s">
        <v>145</v>
      </c>
      <c r="H67" s="1" t="s">
        <v>146</v>
      </c>
      <c r="I67" s="1" t="s">
        <v>142</v>
      </c>
      <c r="J67" s="11"/>
      <c r="K67" s="6"/>
      <c r="L67" s="3" t="s">
        <v>18</v>
      </c>
      <c r="M67" s="4">
        <v>1</v>
      </c>
      <c r="N67" s="17" t="s">
        <v>104</v>
      </c>
    </row>
    <row r="68" spans="1:14" ht="30">
      <c r="A68" s="1" t="s">
        <v>51</v>
      </c>
      <c r="B68" s="8">
        <v>46037</v>
      </c>
      <c r="C68" s="9">
        <v>0.41666666666666669</v>
      </c>
      <c r="D68" s="9">
        <v>0.46875</v>
      </c>
      <c r="E68" s="10">
        <f t="shared" si="0"/>
        <v>5.2083333333333315E-2</v>
      </c>
      <c r="F68" s="10">
        <v>0</v>
      </c>
      <c r="G68" s="1" t="s">
        <v>147</v>
      </c>
      <c r="H68" s="1" t="s">
        <v>148</v>
      </c>
      <c r="I68" s="1" t="s">
        <v>149</v>
      </c>
      <c r="J68" s="11" t="s">
        <v>150</v>
      </c>
      <c r="K68" s="6"/>
      <c r="L68" s="3" t="s">
        <v>33</v>
      </c>
      <c r="M68" s="4">
        <v>17</v>
      </c>
      <c r="N68" s="17" t="s">
        <v>151</v>
      </c>
    </row>
    <row r="69" spans="1:14" ht="45">
      <c r="A69" s="1" t="s">
        <v>51</v>
      </c>
      <c r="B69" s="8">
        <v>46037</v>
      </c>
      <c r="C69" s="9">
        <v>0.44791666666666669</v>
      </c>
      <c r="D69" s="9">
        <v>0.48958333333333331</v>
      </c>
      <c r="E69" s="10">
        <f t="shared" si="0"/>
        <v>4.166666666666663E-2</v>
      </c>
      <c r="F69" s="10">
        <v>0</v>
      </c>
      <c r="G69" s="1" t="s">
        <v>152</v>
      </c>
      <c r="H69" s="1" t="s">
        <v>141</v>
      </c>
      <c r="I69" s="1" t="s">
        <v>142</v>
      </c>
      <c r="J69" s="11"/>
      <c r="K69" s="6"/>
      <c r="L69" s="3" t="s">
        <v>18</v>
      </c>
      <c r="M69" s="4">
        <v>16</v>
      </c>
      <c r="N69" s="17" t="s">
        <v>40</v>
      </c>
    </row>
    <row r="70" spans="1:14" ht="30">
      <c r="A70" s="1" t="s">
        <v>51</v>
      </c>
      <c r="B70" s="8">
        <v>46037</v>
      </c>
      <c r="C70" s="9">
        <v>0.54166666666666663</v>
      </c>
      <c r="D70" s="9">
        <v>0.58333333333333337</v>
      </c>
      <c r="E70" s="10">
        <f t="shared" si="0"/>
        <v>4.1666666666666741E-2</v>
      </c>
      <c r="F70" s="10">
        <v>0</v>
      </c>
      <c r="G70" s="1" t="s">
        <v>153</v>
      </c>
      <c r="H70" s="1" t="s">
        <v>154</v>
      </c>
      <c r="I70" s="1" t="s">
        <v>71</v>
      </c>
      <c r="J70" s="11">
        <v>1</v>
      </c>
      <c r="K70" s="6"/>
      <c r="L70" s="3" t="s">
        <v>18</v>
      </c>
      <c r="M70" s="4">
        <v>95</v>
      </c>
      <c r="N70" s="23" t="s">
        <v>155</v>
      </c>
    </row>
    <row r="71" spans="1:14" ht="30">
      <c r="A71" s="1" t="s">
        <v>51</v>
      </c>
      <c r="B71" s="8">
        <v>46037</v>
      </c>
      <c r="C71" s="9">
        <v>0.54166666666666663</v>
      </c>
      <c r="D71" s="9">
        <v>0.58333333333333337</v>
      </c>
      <c r="E71" s="10">
        <f t="shared" ref="E71" si="16">D71-C71</f>
        <v>4.1666666666666741E-2</v>
      </c>
      <c r="F71" s="10">
        <v>0</v>
      </c>
      <c r="G71" s="1" t="s">
        <v>153</v>
      </c>
      <c r="H71" s="1" t="s">
        <v>154</v>
      </c>
      <c r="I71" s="1" t="s">
        <v>73</v>
      </c>
      <c r="J71" s="11">
        <v>1</v>
      </c>
      <c r="K71" s="6"/>
      <c r="L71" s="3" t="s">
        <v>18</v>
      </c>
      <c r="M71" s="4">
        <v>38</v>
      </c>
      <c r="N71" s="17" t="s">
        <v>74</v>
      </c>
    </row>
    <row r="72" spans="1:14" ht="30">
      <c r="A72" s="1" t="s">
        <v>51</v>
      </c>
      <c r="B72" s="8">
        <v>46037</v>
      </c>
      <c r="C72" s="9">
        <v>0.54166666666666663</v>
      </c>
      <c r="D72" s="9">
        <v>0.59375</v>
      </c>
      <c r="E72" s="10">
        <f t="shared" ref="E72" si="17">D72-C72</f>
        <v>5.208333333333337E-2</v>
      </c>
      <c r="F72" s="10">
        <v>0</v>
      </c>
      <c r="G72" s="1" t="s">
        <v>153</v>
      </c>
      <c r="H72" s="1" t="s">
        <v>154</v>
      </c>
      <c r="I72" s="1" t="s">
        <v>156</v>
      </c>
      <c r="J72" s="11">
        <v>1</v>
      </c>
      <c r="K72" s="6" t="s">
        <v>39</v>
      </c>
      <c r="L72" s="3" t="s">
        <v>18</v>
      </c>
      <c r="M72" s="4">
        <v>3</v>
      </c>
      <c r="N72" s="17" t="s">
        <v>157</v>
      </c>
    </row>
    <row r="73" spans="1:14" ht="30.75">
      <c r="A73" s="1" t="s">
        <v>51</v>
      </c>
      <c r="B73" s="8">
        <v>46037</v>
      </c>
      <c r="C73" s="9">
        <v>0.5625</v>
      </c>
      <c r="D73" s="9">
        <v>0.625</v>
      </c>
      <c r="E73" s="10">
        <f t="shared" ref="E73:E77" si="18">D73-C73</f>
        <v>6.25E-2</v>
      </c>
      <c r="F73" s="10">
        <v>0</v>
      </c>
      <c r="G73" s="1" t="s">
        <v>158</v>
      </c>
      <c r="H73" s="1" t="s">
        <v>159</v>
      </c>
      <c r="I73" s="1" t="s">
        <v>142</v>
      </c>
      <c r="J73" s="11"/>
      <c r="K73" s="6"/>
      <c r="L73" s="3" t="s">
        <v>18</v>
      </c>
      <c r="M73" s="4">
        <v>31</v>
      </c>
      <c r="N73" s="17" t="s">
        <v>48</v>
      </c>
    </row>
    <row r="74" spans="1:14" ht="30">
      <c r="A74" s="1" t="s">
        <v>51</v>
      </c>
      <c r="B74" s="8">
        <v>46037</v>
      </c>
      <c r="C74" s="9">
        <v>0.5625</v>
      </c>
      <c r="D74" s="9">
        <v>0.625</v>
      </c>
      <c r="E74" s="10">
        <f t="shared" si="18"/>
        <v>6.25E-2</v>
      </c>
      <c r="F74" s="10">
        <v>0</v>
      </c>
      <c r="G74" s="1" t="s">
        <v>160</v>
      </c>
      <c r="H74" s="1" t="s">
        <v>159</v>
      </c>
      <c r="I74" s="1" t="s">
        <v>142</v>
      </c>
      <c r="J74" s="11"/>
      <c r="K74" s="6"/>
      <c r="L74" s="3" t="s">
        <v>18</v>
      </c>
      <c r="M74" s="4">
        <v>19</v>
      </c>
      <c r="N74" s="17" t="s">
        <v>79</v>
      </c>
    </row>
    <row r="75" spans="1:14" ht="30">
      <c r="A75" s="1" t="s">
        <v>51</v>
      </c>
      <c r="B75" s="8">
        <v>46037</v>
      </c>
      <c r="C75" s="9">
        <v>0.60416666666666663</v>
      </c>
      <c r="D75" s="9">
        <v>0.66666666666666663</v>
      </c>
      <c r="E75" s="10">
        <f t="shared" si="18"/>
        <v>6.25E-2</v>
      </c>
      <c r="F75" s="10">
        <v>0</v>
      </c>
      <c r="G75" s="1" t="s">
        <v>161</v>
      </c>
      <c r="H75" s="1" t="s">
        <v>162</v>
      </c>
      <c r="I75" s="1" t="s">
        <v>142</v>
      </c>
      <c r="J75" s="11"/>
      <c r="K75" s="6"/>
      <c r="L75" s="3" t="s">
        <v>18</v>
      </c>
      <c r="M75" s="4">
        <v>24</v>
      </c>
      <c r="N75" s="17" t="s">
        <v>163</v>
      </c>
    </row>
    <row r="76" spans="1:14" ht="30">
      <c r="A76" s="1" t="s">
        <v>51</v>
      </c>
      <c r="B76" s="8">
        <v>46037</v>
      </c>
      <c r="C76" s="9">
        <v>0.65625</v>
      </c>
      <c r="D76" s="9">
        <v>0.71875</v>
      </c>
      <c r="E76" s="10">
        <f t="shared" si="18"/>
        <v>6.25E-2</v>
      </c>
      <c r="F76" s="10">
        <v>0</v>
      </c>
      <c r="G76" s="1" t="s">
        <v>164</v>
      </c>
      <c r="H76" s="1" t="s">
        <v>159</v>
      </c>
      <c r="I76" s="1" t="s">
        <v>142</v>
      </c>
      <c r="J76" s="11"/>
      <c r="K76" s="6"/>
      <c r="L76" s="3" t="s">
        <v>18</v>
      </c>
      <c r="M76" s="4">
        <v>35</v>
      </c>
      <c r="N76" s="17" t="s">
        <v>50</v>
      </c>
    </row>
    <row r="77" spans="1:14" ht="30">
      <c r="A77" s="1" t="s">
        <v>51</v>
      </c>
      <c r="B77" s="8">
        <v>46037</v>
      </c>
      <c r="C77" s="9">
        <v>0.65625</v>
      </c>
      <c r="D77" s="9">
        <v>0.71875</v>
      </c>
      <c r="E77" s="10">
        <f t="shared" si="18"/>
        <v>6.25E-2</v>
      </c>
      <c r="F77" s="10">
        <v>0</v>
      </c>
      <c r="G77" s="1" t="s">
        <v>165</v>
      </c>
      <c r="H77" s="1" t="s">
        <v>159</v>
      </c>
      <c r="I77" s="1" t="s">
        <v>142</v>
      </c>
      <c r="J77" s="11"/>
      <c r="K77" s="6"/>
      <c r="L77" s="3" t="s">
        <v>18</v>
      </c>
      <c r="M77" s="4">
        <v>18</v>
      </c>
      <c r="N77" s="17" t="s">
        <v>40</v>
      </c>
    </row>
    <row r="78" spans="1:14">
      <c r="A78" s="1" t="s">
        <v>166</v>
      </c>
      <c r="B78" s="8">
        <v>46038</v>
      </c>
      <c r="C78" s="9">
        <v>0.35416666666666669</v>
      </c>
      <c r="D78" s="9">
        <v>0.41666666666666669</v>
      </c>
      <c r="E78" s="10">
        <f t="shared" si="0"/>
        <v>6.25E-2</v>
      </c>
      <c r="F78" s="10">
        <v>0</v>
      </c>
      <c r="G78" s="1" t="s">
        <v>167</v>
      </c>
      <c r="H78" s="1" t="s">
        <v>168</v>
      </c>
      <c r="I78" s="1" t="s">
        <v>169</v>
      </c>
      <c r="J78" s="11">
        <v>5</v>
      </c>
      <c r="K78" s="6"/>
      <c r="L78" s="3" t="s">
        <v>18</v>
      </c>
      <c r="M78" s="4">
        <v>8</v>
      </c>
      <c r="N78" s="17" t="s">
        <v>75</v>
      </c>
    </row>
    <row r="79" spans="1:14">
      <c r="A79" s="1" t="s">
        <v>166</v>
      </c>
      <c r="B79" s="8">
        <v>46038</v>
      </c>
      <c r="C79" s="9">
        <v>0.47916666666666669</v>
      </c>
      <c r="D79" s="9">
        <v>0.53125</v>
      </c>
      <c r="E79" s="10">
        <f t="shared" si="0"/>
        <v>5.2083333333333315E-2</v>
      </c>
      <c r="F79" s="10">
        <v>0</v>
      </c>
      <c r="G79" s="1" t="s">
        <v>170</v>
      </c>
      <c r="H79" s="1" t="s">
        <v>171</v>
      </c>
      <c r="I79" s="1" t="s">
        <v>105</v>
      </c>
      <c r="J79" s="11">
        <v>1</v>
      </c>
      <c r="K79" s="6"/>
      <c r="L79" s="3" t="s">
        <v>18</v>
      </c>
      <c r="M79" s="4">
        <v>29</v>
      </c>
      <c r="N79" s="17" t="s">
        <v>172</v>
      </c>
    </row>
    <row r="80" spans="1:14">
      <c r="A80" s="1" t="s">
        <v>166</v>
      </c>
      <c r="B80" s="8">
        <v>46038</v>
      </c>
      <c r="C80" s="9">
        <v>0.47916666666666669</v>
      </c>
      <c r="D80" s="9">
        <v>0.54513888888888884</v>
      </c>
      <c r="E80" s="10">
        <f t="shared" si="0"/>
        <v>6.5972222222222154E-2</v>
      </c>
      <c r="F80" s="10">
        <v>0</v>
      </c>
      <c r="G80" s="1" t="s">
        <v>170</v>
      </c>
      <c r="H80" s="1" t="s">
        <v>171</v>
      </c>
      <c r="I80" s="1" t="s">
        <v>105</v>
      </c>
      <c r="J80" s="11">
        <v>1</v>
      </c>
      <c r="K80" s="6" t="s">
        <v>39</v>
      </c>
      <c r="L80" s="3" t="s">
        <v>18</v>
      </c>
      <c r="M80" s="4">
        <v>3</v>
      </c>
      <c r="N80" s="17" t="s">
        <v>75</v>
      </c>
    </row>
    <row r="81" spans="1:14" ht="30">
      <c r="A81" s="1" t="s">
        <v>166</v>
      </c>
      <c r="B81" s="8">
        <v>46038</v>
      </c>
      <c r="C81" s="9">
        <v>0.47916666666666669</v>
      </c>
      <c r="D81" s="9">
        <v>0.53125</v>
      </c>
      <c r="E81" s="10">
        <f t="shared" si="0"/>
        <v>5.2083333333333315E-2</v>
      </c>
      <c r="F81" s="10">
        <v>0</v>
      </c>
      <c r="G81" s="1" t="s">
        <v>173</v>
      </c>
      <c r="H81" s="1" t="s">
        <v>174</v>
      </c>
      <c r="I81" s="1" t="s">
        <v>88</v>
      </c>
      <c r="J81" s="11">
        <v>1</v>
      </c>
      <c r="K81" s="6"/>
      <c r="L81" s="31" t="s">
        <v>18</v>
      </c>
      <c r="M81" s="4">
        <v>30</v>
      </c>
      <c r="N81" s="17" t="s">
        <v>175</v>
      </c>
    </row>
    <row r="82" spans="1:14" ht="53.25" customHeight="1">
      <c r="A82" s="1" t="s">
        <v>166</v>
      </c>
      <c r="B82" s="8">
        <v>46038</v>
      </c>
      <c r="C82" s="9">
        <v>0.47916666666666669</v>
      </c>
      <c r="D82" s="9">
        <v>0.53125</v>
      </c>
      <c r="E82" s="10">
        <f t="shared" si="0"/>
        <v>5.2083333333333315E-2</v>
      </c>
      <c r="F82" s="10">
        <v>0</v>
      </c>
      <c r="G82" s="1" t="s">
        <v>173</v>
      </c>
      <c r="H82" s="1" t="s">
        <v>176</v>
      </c>
      <c r="I82" s="1" t="s">
        <v>90</v>
      </c>
      <c r="J82" s="11">
        <v>1</v>
      </c>
      <c r="K82" s="6"/>
      <c r="L82" s="31" t="s">
        <v>18</v>
      </c>
      <c r="M82" s="4">
        <v>39</v>
      </c>
      <c r="N82" s="17" t="s">
        <v>26</v>
      </c>
    </row>
    <row r="83" spans="1:14" ht="53.25" customHeight="1">
      <c r="A83" s="1" t="s">
        <v>166</v>
      </c>
      <c r="B83" s="8">
        <v>46038</v>
      </c>
      <c r="C83" s="9">
        <v>0.47916666666666669</v>
      </c>
      <c r="D83" s="9">
        <v>0.54513888888888884</v>
      </c>
      <c r="E83" s="10">
        <f t="shared" ref="E83" si="19">D83-C83</f>
        <v>6.5972222222222154E-2</v>
      </c>
      <c r="F83" s="10">
        <v>0</v>
      </c>
      <c r="G83" s="1" t="s">
        <v>173</v>
      </c>
      <c r="H83" s="1" t="s">
        <v>176</v>
      </c>
      <c r="I83" s="1" t="s">
        <v>90</v>
      </c>
      <c r="J83" s="11">
        <v>1</v>
      </c>
      <c r="K83" s="6" t="s">
        <v>39</v>
      </c>
      <c r="L83" s="31" t="s">
        <v>18</v>
      </c>
      <c r="M83" s="4">
        <v>1</v>
      </c>
      <c r="N83" s="17" t="s">
        <v>177</v>
      </c>
    </row>
    <row r="84" spans="1:14" ht="48" customHeight="1">
      <c r="A84" s="1" t="s">
        <v>166</v>
      </c>
      <c r="B84" s="8">
        <v>46038</v>
      </c>
      <c r="C84" s="9">
        <v>0.47916666666666669</v>
      </c>
      <c r="D84" s="9">
        <v>0.53125</v>
      </c>
      <c r="E84" s="10">
        <f t="shared" si="0"/>
        <v>5.2083333333333315E-2</v>
      </c>
      <c r="F84" s="10">
        <v>0</v>
      </c>
      <c r="G84" s="1" t="s">
        <v>173</v>
      </c>
      <c r="H84" s="1" t="s">
        <v>176</v>
      </c>
      <c r="I84" s="1" t="s">
        <v>92</v>
      </c>
      <c r="J84" s="11"/>
      <c r="K84" s="6"/>
      <c r="L84" s="31" t="s">
        <v>18</v>
      </c>
      <c r="M84" s="4">
        <v>13</v>
      </c>
      <c r="N84" s="17" t="s">
        <v>178</v>
      </c>
    </row>
    <row r="85" spans="1:14" ht="45">
      <c r="A85" s="1" t="s">
        <v>166</v>
      </c>
      <c r="B85" s="8">
        <v>46038</v>
      </c>
      <c r="C85" s="9">
        <v>0.47916666666666669</v>
      </c>
      <c r="D85" s="9">
        <v>0.53125</v>
      </c>
      <c r="E85" s="10">
        <f t="shared" si="0"/>
        <v>5.2083333333333315E-2</v>
      </c>
      <c r="F85" s="10">
        <v>0</v>
      </c>
      <c r="G85" s="1" t="s">
        <v>173</v>
      </c>
      <c r="H85" s="1" t="s">
        <v>179</v>
      </c>
      <c r="I85" s="1" t="s">
        <v>73</v>
      </c>
      <c r="J85" s="11">
        <v>1</v>
      </c>
      <c r="K85" s="6"/>
      <c r="L85" s="31" t="s">
        <v>18</v>
      </c>
      <c r="M85" s="4">
        <v>36</v>
      </c>
      <c r="N85" s="17" t="s">
        <v>48</v>
      </c>
    </row>
    <row r="86" spans="1:14" ht="30">
      <c r="A86" s="1" t="s">
        <v>166</v>
      </c>
      <c r="B86" s="8">
        <v>46038</v>
      </c>
      <c r="C86" s="9">
        <v>0.47916666666666669</v>
      </c>
      <c r="D86" s="9">
        <v>0.53125</v>
      </c>
      <c r="E86" s="10">
        <f t="shared" si="0"/>
        <v>5.2083333333333315E-2</v>
      </c>
      <c r="F86" s="10">
        <v>0</v>
      </c>
      <c r="G86" s="1" t="s">
        <v>173</v>
      </c>
      <c r="H86" s="1" t="s">
        <v>180</v>
      </c>
      <c r="I86" s="1" t="s">
        <v>181</v>
      </c>
      <c r="J86" s="11">
        <v>1</v>
      </c>
      <c r="K86" s="6"/>
      <c r="L86" s="31" t="s">
        <v>18</v>
      </c>
      <c r="M86" s="4">
        <v>91</v>
      </c>
      <c r="N86" s="17" t="s">
        <v>182</v>
      </c>
    </row>
    <row r="87" spans="1:14" ht="30">
      <c r="A87" s="1" t="s">
        <v>166</v>
      </c>
      <c r="B87" s="8">
        <v>46038</v>
      </c>
      <c r="C87" s="9">
        <v>0.47916666666666669</v>
      </c>
      <c r="D87" s="9">
        <v>0.54513888888888884</v>
      </c>
      <c r="E87" s="10">
        <f t="shared" ref="E87" si="20">D87-C87</f>
        <v>6.5972222222222154E-2</v>
      </c>
      <c r="F87" s="10">
        <v>0</v>
      </c>
      <c r="G87" s="1" t="s">
        <v>173</v>
      </c>
      <c r="H87" s="1" t="s">
        <v>180</v>
      </c>
      <c r="I87" s="1" t="s">
        <v>181</v>
      </c>
      <c r="J87" s="11">
        <v>1</v>
      </c>
      <c r="K87" s="6" t="s">
        <v>39</v>
      </c>
      <c r="L87" s="31" t="s">
        <v>18</v>
      </c>
      <c r="M87" s="4">
        <v>2</v>
      </c>
      <c r="N87" s="17" t="s">
        <v>157</v>
      </c>
    </row>
    <row r="88" spans="1:14" ht="30">
      <c r="A88" s="1" t="s">
        <v>166</v>
      </c>
      <c r="B88" s="8">
        <v>46038</v>
      </c>
      <c r="C88" s="9">
        <v>0.625</v>
      </c>
      <c r="D88" s="9">
        <v>0.67708333333333337</v>
      </c>
      <c r="E88" s="10">
        <f t="shared" si="0"/>
        <v>5.208333333333337E-2</v>
      </c>
      <c r="F88" s="10">
        <v>0</v>
      </c>
      <c r="G88" s="1" t="s">
        <v>173</v>
      </c>
      <c r="H88" s="1" t="s">
        <v>183</v>
      </c>
      <c r="I88" s="1" t="s">
        <v>95</v>
      </c>
      <c r="J88" s="11">
        <v>1</v>
      </c>
      <c r="K88" s="6"/>
      <c r="L88" s="3" t="s">
        <v>33</v>
      </c>
      <c r="M88" s="4">
        <v>41</v>
      </c>
      <c r="N88" s="17" t="s">
        <v>26</v>
      </c>
    </row>
    <row r="89" spans="1:14" ht="30">
      <c r="A89" s="1" t="s">
        <v>166</v>
      </c>
      <c r="B89" s="8">
        <v>46038</v>
      </c>
      <c r="C89" s="9">
        <v>0.625</v>
      </c>
      <c r="D89" s="9">
        <v>0.69097222222222221</v>
      </c>
      <c r="E89" s="10">
        <f t="shared" ref="E89" si="21">D89-C89</f>
        <v>6.597222222222221E-2</v>
      </c>
      <c r="F89" s="10">
        <v>0</v>
      </c>
      <c r="G89" s="1" t="s">
        <v>173</v>
      </c>
      <c r="H89" s="1" t="s">
        <v>183</v>
      </c>
      <c r="I89" s="1" t="s">
        <v>95</v>
      </c>
      <c r="J89" s="11">
        <v>1</v>
      </c>
      <c r="K89" s="6" t="s">
        <v>39</v>
      </c>
      <c r="L89" s="3" t="s">
        <v>184</v>
      </c>
      <c r="M89" s="4">
        <v>1</v>
      </c>
      <c r="N89" s="17" t="s">
        <v>75</v>
      </c>
    </row>
    <row r="90" spans="1:14" ht="30">
      <c r="A90" s="1" t="s">
        <v>166</v>
      </c>
      <c r="B90" s="8">
        <v>46038</v>
      </c>
      <c r="C90" s="9">
        <v>0.625</v>
      </c>
      <c r="D90" s="9">
        <v>0.67708333333333337</v>
      </c>
      <c r="E90" s="10">
        <f t="shared" si="0"/>
        <v>5.208333333333337E-2</v>
      </c>
      <c r="F90" s="10">
        <v>0</v>
      </c>
      <c r="G90" s="1" t="s">
        <v>173</v>
      </c>
      <c r="H90" s="1" t="s">
        <v>185</v>
      </c>
      <c r="I90" s="1" t="s">
        <v>97</v>
      </c>
      <c r="J90" s="11">
        <v>1</v>
      </c>
      <c r="K90" s="6"/>
      <c r="L90" s="3" t="s">
        <v>184</v>
      </c>
      <c r="M90" s="4">
        <v>35</v>
      </c>
      <c r="N90" s="17" t="s">
        <v>48</v>
      </c>
    </row>
    <row r="91" spans="1:14" ht="30">
      <c r="A91" s="1" t="s">
        <v>166</v>
      </c>
      <c r="B91" s="8">
        <v>46038</v>
      </c>
      <c r="C91" s="9">
        <v>0.625</v>
      </c>
      <c r="D91" s="9">
        <v>0.69097222222222221</v>
      </c>
      <c r="E91" s="10">
        <f t="shared" ref="E91" si="22">D91-C91</f>
        <v>6.597222222222221E-2</v>
      </c>
      <c r="F91" s="10">
        <v>0</v>
      </c>
      <c r="G91" s="1" t="s">
        <v>173</v>
      </c>
      <c r="H91" s="1" t="s">
        <v>185</v>
      </c>
      <c r="I91" s="1" t="s">
        <v>97</v>
      </c>
      <c r="J91" s="11">
        <v>1</v>
      </c>
      <c r="K91" s="6" t="s">
        <v>39</v>
      </c>
      <c r="L91" s="3" t="s">
        <v>184</v>
      </c>
      <c r="M91" s="4">
        <v>1</v>
      </c>
      <c r="N91" s="17" t="s">
        <v>104</v>
      </c>
    </row>
    <row r="92" spans="1:14">
      <c r="A92" s="1" t="s">
        <v>166</v>
      </c>
      <c r="B92" s="8">
        <v>46038</v>
      </c>
      <c r="C92" s="9">
        <v>0.5625</v>
      </c>
      <c r="D92" s="9">
        <v>0.60416666666666663</v>
      </c>
      <c r="E92" s="10">
        <f t="shared" si="0"/>
        <v>4.166666666666663E-2</v>
      </c>
      <c r="F92" s="10">
        <v>0</v>
      </c>
      <c r="G92" s="1" t="s">
        <v>186</v>
      </c>
      <c r="H92" s="1" t="s">
        <v>187</v>
      </c>
      <c r="I92" s="1" t="s">
        <v>73</v>
      </c>
      <c r="J92" s="11">
        <v>1</v>
      </c>
      <c r="K92" s="6"/>
      <c r="L92" s="3" t="s">
        <v>18</v>
      </c>
      <c r="M92" s="4">
        <v>32</v>
      </c>
      <c r="N92" s="17" t="s">
        <v>38</v>
      </c>
    </row>
    <row r="93" spans="1:14">
      <c r="A93" s="1" t="s">
        <v>166</v>
      </c>
      <c r="B93" s="8">
        <v>46038</v>
      </c>
      <c r="C93" s="9">
        <v>0.5625</v>
      </c>
      <c r="D93" s="9">
        <v>0.60416666666666663</v>
      </c>
      <c r="E93" s="10">
        <f t="shared" si="0"/>
        <v>4.166666666666663E-2</v>
      </c>
      <c r="F93" s="10">
        <v>0</v>
      </c>
      <c r="G93" s="1" t="s">
        <v>186</v>
      </c>
      <c r="H93" s="1" t="s">
        <v>187</v>
      </c>
      <c r="I93" s="1" t="s">
        <v>188</v>
      </c>
      <c r="J93" s="11">
        <v>1</v>
      </c>
      <c r="K93" s="6"/>
      <c r="L93" s="3" t="s">
        <v>18</v>
      </c>
      <c r="M93" s="4">
        <v>90</v>
      </c>
      <c r="N93" s="17" t="s">
        <v>189</v>
      </c>
    </row>
    <row r="94" spans="1:14">
      <c r="A94" s="1" t="s">
        <v>166</v>
      </c>
      <c r="B94" s="8">
        <v>46038</v>
      </c>
      <c r="C94" s="9">
        <v>0.5625</v>
      </c>
      <c r="D94" s="9">
        <v>0.61458333333333337</v>
      </c>
      <c r="E94" s="10">
        <f t="shared" ref="E94" si="23">D94-C94</f>
        <v>5.208333333333337E-2</v>
      </c>
      <c r="F94" s="10">
        <v>0</v>
      </c>
      <c r="G94" s="1" t="s">
        <v>186</v>
      </c>
      <c r="H94" s="1" t="s">
        <v>187</v>
      </c>
      <c r="I94" s="1" t="s">
        <v>188</v>
      </c>
      <c r="J94" s="11">
        <v>1</v>
      </c>
      <c r="K94" s="6" t="s">
        <v>39</v>
      </c>
      <c r="L94" s="3" t="s">
        <v>18</v>
      </c>
      <c r="M94" s="4">
        <v>2</v>
      </c>
      <c r="N94" s="17" t="s">
        <v>125</v>
      </c>
    </row>
    <row r="95" spans="1:14">
      <c r="A95" s="1" t="s">
        <v>166</v>
      </c>
      <c r="B95" s="8">
        <v>46038</v>
      </c>
      <c r="C95" s="9">
        <v>0.5625</v>
      </c>
      <c r="D95" s="9">
        <v>0.60416666666666663</v>
      </c>
      <c r="E95" s="10">
        <f t="shared" si="0"/>
        <v>4.166666666666663E-2</v>
      </c>
      <c r="F95" s="10">
        <v>0</v>
      </c>
      <c r="G95" s="1" t="s">
        <v>190</v>
      </c>
      <c r="H95" s="1" t="s">
        <v>70</v>
      </c>
      <c r="I95" s="1" t="s">
        <v>128</v>
      </c>
      <c r="J95" s="11">
        <v>5</v>
      </c>
      <c r="K95" s="6"/>
      <c r="L95" s="3" t="s">
        <v>18</v>
      </c>
      <c r="M95" s="4">
        <v>20</v>
      </c>
      <c r="N95" s="17" t="s">
        <v>62</v>
      </c>
    </row>
    <row r="96" spans="1:14">
      <c r="A96" s="1" t="s">
        <v>166</v>
      </c>
      <c r="B96" s="8">
        <v>46038</v>
      </c>
      <c r="C96" s="9">
        <v>0.5625</v>
      </c>
      <c r="D96" s="9">
        <v>0.61458333333333337</v>
      </c>
      <c r="E96" s="10">
        <f t="shared" ref="E96" si="24">D96-C96</f>
        <v>5.208333333333337E-2</v>
      </c>
      <c r="F96" s="10">
        <v>0</v>
      </c>
      <c r="G96" s="1" t="s">
        <v>190</v>
      </c>
      <c r="H96" s="1" t="s">
        <v>70</v>
      </c>
      <c r="I96" s="1" t="s">
        <v>128</v>
      </c>
      <c r="J96" s="11">
        <v>5</v>
      </c>
      <c r="K96" s="6" t="s">
        <v>39</v>
      </c>
      <c r="L96" s="3" t="s">
        <v>18</v>
      </c>
      <c r="M96" s="4">
        <v>2</v>
      </c>
      <c r="N96" s="17" t="s">
        <v>191</v>
      </c>
    </row>
    <row r="97" spans="1:14" ht="30">
      <c r="A97" s="1" t="s">
        <v>192</v>
      </c>
      <c r="B97" s="8">
        <v>46039</v>
      </c>
      <c r="C97" s="9">
        <v>0.375</v>
      </c>
      <c r="D97" s="9">
        <v>0.4375</v>
      </c>
      <c r="E97" s="10">
        <f>D97-C97</f>
        <v>6.25E-2</v>
      </c>
      <c r="F97" s="10">
        <v>0</v>
      </c>
      <c r="G97" s="1" t="s">
        <v>193</v>
      </c>
      <c r="H97" s="1" t="s">
        <v>194</v>
      </c>
      <c r="I97" s="1" t="s">
        <v>195</v>
      </c>
      <c r="J97" s="11">
        <v>3</v>
      </c>
      <c r="K97" s="6"/>
      <c r="L97" s="3" t="s">
        <v>18</v>
      </c>
      <c r="M97" s="4">
        <v>48</v>
      </c>
      <c r="N97" s="17" t="s">
        <v>26</v>
      </c>
    </row>
    <row r="98" spans="1:14" ht="30">
      <c r="A98" s="1" t="s">
        <v>192</v>
      </c>
      <c r="B98" s="8">
        <v>46039</v>
      </c>
      <c r="C98" s="9">
        <v>0.375</v>
      </c>
      <c r="D98" s="9">
        <v>0.4548611111111111</v>
      </c>
      <c r="E98" s="10">
        <f>D98-C98</f>
        <v>7.9861111111111105E-2</v>
      </c>
      <c r="F98" s="10">
        <v>0</v>
      </c>
      <c r="G98" s="1" t="s">
        <v>193</v>
      </c>
      <c r="H98" s="1" t="s">
        <v>194</v>
      </c>
      <c r="I98" s="1" t="s">
        <v>195</v>
      </c>
      <c r="J98" s="11">
        <v>3</v>
      </c>
      <c r="K98" s="6" t="s">
        <v>39</v>
      </c>
      <c r="L98" s="3" t="s">
        <v>18</v>
      </c>
      <c r="M98" s="4">
        <v>1</v>
      </c>
      <c r="N98" s="17" t="s">
        <v>157</v>
      </c>
    </row>
    <row r="99" spans="1:14">
      <c r="A99" s="1" t="s">
        <v>14</v>
      </c>
      <c r="B99" s="8">
        <v>46041</v>
      </c>
      <c r="C99" s="9">
        <v>0.375</v>
      </c>
      <c r="D99" s="9">
        <v>0.4375</v>
      </c>
      <c r="E99" s="10">
        <f t="shared" ref="E99:E177" si="25">D99-C99</f>
        <v>6.25E-2</v>
      </c>
      <c r="F99" s="10">
        <v>0</v>
      </c>
      <c r="G99" s="1" t="s">
        <v>196</v>
      </c>
      <c r="H99" s="1" t="s">
        <v>197</v>
      </c>
      <c r="I99" s="1" t="s">
        <v>92</v>
      </c>
      <c r="J99" s="11">
        <v>1</v>
      </c>
      <c r="K99" s="6"/>
      <c r="L99" s="3" t="s">
        <v>18</v>
      </c>
      <c r="M99" s="4">
        <v>17</v>
      </c>
      <c r="N99" s="17" t="s">
        <v>79</v>
      </c>
    </row>
    <row r="100" spans="1:14" ht="29.25" customHeight="1">
      <c r="A100" s="1" t="s">
        <v>14</v>
      </c>
      <c r="B100" s="8">
        <v>46041</v>
      </c>
      <c r="C100" s="9">
        <v>0.5625</v>
      </c>
      <c r="D100" s="9">
        <v>0.625</v>
      </c>
      <c r="E100" s="10">
        <f t="shared" si="25"/>
        <v>6.25E-2</v>
      </c>
      <c r="F100" s="10">
        <v>0</v>
      </c>
      <c r="G100" s="1" t="s">
        <v>198</v>
      </c>
      <c r="H100" s="1" t="s">
        <v>199</v>
      </c>
      <c r="I100" s="1" t="s">
        <v>112</v>
      </c>
      <c r="J100" s="11">
        <v>5</v>
      </c>
      <c r="K100" s="6"/>
      <c r="L100" s="3" t="s">
        <v>33</v>
      </c>
      <c r="M100" s="4">
        <v>26</v>
      </c>
      <c r="N100" s="17" t="s">
        <v>48</v>
      </c>
    </row>
    <row r="101" spans="1:14">
      <c r="A101" s="1" t="s">
        <v>14</v>
      </c>
      <c r="B101" s="8">
        <v>46041</v>
      </c>
      <c r="C101" s="9">
        <v>0.5625</v>
      </c>
      <c r="D101" s="9">
        <v>0.625</v>
      </c>
      <c r="E101" s="10">
        <f t="shared" si="25"/>
        <v>6.25E-2</v>
      </c>
      <c r="F101" s="10">
        <v>0</v>
      </c>
      <c r="G101" s="1" t="s">
        <v>200</v>
      </c>
      <c r="H101" s="1" t="s">
        <v>201</v>
      </c>
      <c r="I101" s="1" t="s">
        <v>169</v>
      </c>
      <c r="J101" s="11" t="s">
        <v>54</v>
      </c>
      <c r="K101" s="6"/>
      <c r="L101" s="3" t="s">
        <v>33</v>
      </c>
      <c r="M101" s="4">
        <v>5</v>
      </c>
      <c r="N101" s="17" t="s">
        <v>75</v>
      </c>
    </row>
    <row r="102" spans="1:14">
      <c r="A102" s="1" t="s">
        <v>14</v>
      </c>
      <c r="B102" s="8">
        <v>46041</v>
      </c>
      <c r="C102" s="9">
        <v>0.5625</v>
      </c>
      <c r="D102" s="9">
        <v>0.625</v>
      </c>
      <c r="E102" s="10">
        <f t="shared" si="25"/>
        <v>6.25E-2</v>
      </c>
      <c r="F102" s="10">
        <v>0</v>
      </c>
      <c r="G102" s="1" t="s">
        <v>198</v>
      </c>
      <c r="H102" s="1" t="s">
        <v>199</v>
      </c>
      <c r="I102" s="1" t="s">
        <v>202</v>
      </c>
      <c r="J102" s="11">
        <v>5</v>
      </c>
      <c r="K102" s="6"/>
      <c r="L102" s="3" t="s">
        <v>33</v>
      </c>
      <c r="M102" s="4">
        <v>41</v>
      </c>
      <c r="N102" s="17" t="s">
        <v>38</v>
      </c>
    </row>
    <row r="103" spans="1:14" ht="30">
      <c r="A103" s="1" t="s">
        <v>22</v>
      </c>
      <c r="B103" s="8">
        <v>46042</v>
      </c>
      <c r="C103" s="9">
        <v>0.375</v>
      </c>
      <c r="D103" s="9">
        <v>0.41666666666666669</v>
      </c>
      <c r="E103" s="10">
        <f t="shared" si="25"/>
        <v>4.1666666666666685E-2</v>
      </c>
      <c r="F103" s="10">
        <v>0</v>
      </c>
      <c r="G103" s="1" t="s">
        <v>203</v>
      </c>
      <c r="H103" s="1" t="s">
        <v>204</v>
      </c>
      <c r="I103" s="1" t="s">
        <v>205</v>
      </c>
      <c r="J103" s="11" t="s">
        <v>206</v>
      </c>
      <c r="K103" s="6"/>
      <c r="L103" s="3" t="s">
        <v>18</v>
      </c>
      <c r="M103" s="4">
        <v>101</v>
      </c>
      <c r="N103" s="23" t="s">
        <v>207</v>
      </c>
    </row>
    <row r="104" spans="1:14">
      <c r="A104" s="1" t="s">
        <v>22</v>
      </c>
      <c r="B104" s="8">
        <v>46042</v>
      </c>
      <c r="C104" s="9">
        <v>0.375</v>
      </c>
      <c r="D104" s="9">
        <v>0.42708333333333331</v>
      </c>
      <c r="E104" s="10">
        <f t="shared" ref="E104:E105" si="26">D104-C104</f>
        <v>5.2083333333333315E-2</v>
      </c>
      <c r="F104" s="10">
        <v>0</v>
      </c>
      <c r="G104" s="1" t="s">
        <v>203</v>
      </c>
      <c r="H104" s="1" t="s">
        <v>204</v>
      </c>
      <c r="I104" s="1" t="s">
        <v>205</v>
      </c>
      <c r="J104" s="11" t="s">
        <v>206</v>
      </c>
      <c r="K104" s="6" t="s">
        <v>39</v>
      </c>
      <c r="L104" s="3" t="s">
        <v>18</v>
      </c>
      <c r="M104" s="4">
        <v>4</v>
      </c>
      <c r="N104" s="17" t="s">
        <v>79</v>
      </c>
    </row>
    <row r="105" spans="1:14">
      <c r="A105" s="1" t="s">
        <v>22</v>
      </c>
      <c r="B105" s="8">
        <v>46042</v>
      </c>
      <c r="C105" s="9">
        <v>0.375</v>
      </c>
      <c r="D105" s="9">
        <v>0.43055555555555558</v>
      </c>
      <c r="E105" s="10">
        <f t="shared" si="26"/>
        <v>5.555555555555558E-2</v>
      </c>
      <c r="F105" s="10">
        <v>0</v>
      </c>
      <c r="G105" s="1" t="s">
        <v>203</v>
      </c>
      <c r="H105" s="1" t="s">
        <v>204</v>
      </c>
      <c r="I105" s="1" t="s">
        <v>205</v>
      </c>
      <c r="J105" s="11" t="s">
        <v>206</v>
      </c>
      <c r="K105" s="6" t="s">
        <v>39</v>
      </c>
      <c r="L105" s="3" t="s">
        <v>18</v>
      </c>
      <c r="M105" s="4">
        <v>1</v>
      </c>
      <c r="N105" s="17" t="s">
        <v>177</v>
      </c>
    </row>
    <row r="106" spans="1:14">
      <c r="A106" s="1" t="s">
        <v>22</v>
      </c>
      <c r="B106" s="8">
        <v>46042</v>
      </c>
      <c r="C106" s="9">
        <v>0.39583333333333331</v>
      </c>
      <c r="D106" s="9">
        <v>0.45833333333333331</v>
      </c>
      <c r="E106" s="10">
        <f t="shared" si="25"/>
        <v>6.25E-2</v>
      </c>
      <c r="F106" s="10">
        <v>0</v>
      </c>
      <c r="G106" s="1" t="s">
        <v>208</v>
      </c>
      <c r="H106" s="1" t="s">
        <v>209</v>
      </c>
      <c r="I106" s="1" t="s">
        <v>210</v>
      </c>
      <c r="J106" s="11">
        <v>3</v>
      </c>
      <c r="K106" s="6"/>
      <c r="L106" s="3" t="s">
        <v>33</v>
      </c>
      <c r="M106" s="4">
        <v>43</v>
      </c>
      <c r="N106" s="17" t="s">
        <v>26</v>
      </c>
    </row>
    <row r="107" spans="1:14">
      <c r="A107" s="1" t="s">
        <v>22</v>
      </c>
      <c r="B107" s="8">
        <v>46042</v>
      </c>
      <c r="C107" s="9">
        <v>0.39583333333333331</v>
      </c>
      <c r="D107" s="9">
        <v>0.45833333333333331</v>
      </c>
      <c r="E107" s="10">
        <f t="shared" si="25"/>
        <v>6.25E-2</v>
      </c>
      <c r="F107" s="10">
        <v>0</v>
      </c>
      <c r="G107" s="1" t="s">
        <v>211</v>
      </c>
      <c r="H107" s="1" t="s">
        <v>212</v>
      </c>
      <c r="I107" s="1" t="s">
        <v>213</v>
      </c>
      <c r="J107" s="11">
        <v>3</v>
      </c>
      <c r="K107" s="6"/>
      <c r="L107" s="3" t="s">
        <v>18</v>
      </c>
      <c r="M107" s="4">
        <v>37</v>
      </c>
      <c r="N107" s="17" t="s">
        <v>50</v>
      </c>
    </row>
    <row r="108" spans="1:14">
      <c r="A108" s="1" t="s">
        <v>22</v>
      </c>
      <c r="B108" s="8">
        <v>46042</v>
      </c>
      <c r="C108" s="9">
        <v>0.39583333333333331</v>
      </c>
      <c r="D108" s="9">
        <v>0.45833333333333331</v>
      </c>
      <c r="E108" s="10">
        <f t="shared" si="25"/>
        <v>6.25E-2</v>
      </c>
      <c r="F108" s="10">
        <v>0</v>
      </c>
      <c r="G108" s="1" t="s">
        <v>214</v>
      </c>
      <c r="H108" s="1" t="s">
        <v>215</v>
      </c>
      <c r="I108" s="1" t="s">
        <v>216</v>
      </c>
      <c r="J108" s="11">
        <v>3</v>
      </c>
      <c r="K108" s="6"/>
      <c r="L108" s="3" t="s">
        <v>18</v>
      </c>
      <c r="M108" s="4">
        <v>10</v>
      </c>
      <c r="N108" s="17" t="s">
        <v>75</v>
      </c>
    </row>
    <row r="109" spans="1:14">
      <c r="A109" s="1" t="s">
        <v>22</v>
      </c>
      <c r="B109" s="8">
        <v>46042</v>
      </c>
      <c r="C109" s="9">
        <v>0.5625</v>
      </c>
      <c r="D109" s="9">
        <v>0.625</v>
      </c>
      <c r="E109" s="10">
        <f t="shared" si="25"/>
        <v>6.25E-2</v>
      </c>
      <c r="F109" s="10">
        <v>0</v>
      </c>
      <c r="G109" s="1" t="s">
        <v>217</v>
      </c>
      <c r="H109" s="1" t="s">
        <v>218</v>
      </c>
      <c r="I109" s="1" t="s">
        <v>219</v>
      </c>
      <c r="J109" s="11"/>
      <c r="K109" s="6"/>
      <c r="L109" s="3" t="s">
        <v>18</v>
      </c>
      <c r="M109" s="4">
        <v>21</v>
      </c>
      <c r="N109" s="17" t="s">
        <v>79</v>
      </c>
    </row>
    <row r="110" spans="1:14">
      <c r="A110" s="1" t="s">
        <v>22</v>
      </c>
      <c r="B110" s="8">
        <v>46042</v>
      </c>
      <c r="C110" s="9">
        <v>0.5625</v>
      </c>
      <c r="D110" s="9">
        <v>0.64236111111111116</v>
      </c>
      <c r="E110" s="10">
        <f t="shared" ref="E110:E111" si="27">D110-C110</f>
        <v>7.986111111111116E-2</v>
      </c>
      <c r="F110" s="10">
        <v>0</v>
      </c>
      <c r="G110" s="1" t="s">
        <v>217</v>
      </c>
      <c r="H110" s="1" t="s">
        <v>218</v>
      </c>
      <c r="I110" s="1" t="s">
        <v>219</v>
      </c>
      <c r="J110" s="11"/>
      <c r="K110" s="6" t="s">
        <v>39</v>
      </c>
      <c r="L110" s="3" t="s">
        <v>18</v>
      </c>
      <c r="M110" s="4">
        <v>1</v>
      </c>
      <c r="N110" s="17" t="s">
        <v>75</v>
      </c>
    </row>
    <row r="111" spans="1:14">
      <c r="A111" s="1" t="s">
        <v>22</v>
      </c>
      <c r="B111" s="8">
        <v>46042</v>
      </c>
      <c r="C111" s="9">
        <v>0.5625</v>
      </c>
      <c r="D111" s="9">
        <v>0.625</v>
      </c>
      <c r="E111" s="10">
        <f t="shared" si="27"/>
        <v>6.25E-2</v>
      </c>
      <c r="F111" s="10">
        <v>0</v>
      </c>
      <c r="G111" s="1" t="s">
        <v>220</v>
      </c>
      <c r="H111" s="1" t="s">
        <v>218</v>
      </c>
      <c r="I111" s="1" t="s">
        <v>221</v>
      </c>
      <c r="J111" s="11">
        <v>3</v>
      </c>
      <c r="K111" s="6"/>
      <c r="L111" s="3" t="s">
        <v>18</v>
      </c>
      <c r="M111" s="4">
        <v>43</v>
      </c>
      <c r="N111" s="17" t="s">
        <v>26</v>
      </c>
    </row>
    <row r="112" spans="1:14">
      <c r="A112" s="1" t="s">
        <v>22</v>
      </c>
      <c r="B112" s="8">
        <v>46042</v>
      </c>
      <c r="C112" s="9">
        <v>0.5625</v>
      </c>
      <c r="D112" s="9">
        <v>0.64236111111111116</v>
      </c>
      <c r="E112" s="10">
        <f t="shared" si="25"/>
        <v>7.986111111111116E-2</v>
      </c>
      <c r="F112" s="10">
        <v>0</v>
      </c>
      <c r="G112" s="1" t="s">
        <v>220</v>
      </c>
      <c r="H112" s="1" t="s">
        <v>218</v>
      </c>
      <c r="I112" s="1" t="s">
        <v>221</v>
      </c>
      <c r="J112" s="11">
        <v>3</v>
      </c>
      <c r="K112" s="6" t="s">
        <v>39</v>
      </c>
      <c r="L112" s="3" t="s">
        <v>18</v>
      </c>
      <c r="M112" s="4">
        <v>2</v>
      </c>
      <c r="N112" s="17" t="s">
        <v>177</v>
      </c>
    </row>
    <row r="113" spans="1:14" ht="30">
      <c r="A113" s="1" t="s">
        <v>19</v>
      </c>
      <c r="B113" s="8">
        <v>46043</v>
      </c>
      <c r="C113" s="9">
        <v>0.375</v>
      </c>
      <c r="D113" s="9">
        <v>0.45833333333333331</v>
      </c>
      <c r="E113" s="10">
        <f t="shared" si="25"/>
        <v>8.3333333333333315E-2</v>
      </c>
      <c r="F113" s="10">
        <v>0</v>
      </c>
      <c r="G113" s="1" t="s">
        <v>222</v>
      </c>
      <c r="H113" s="1" t="s">
        <v>223</v>
      </c>
      <c r="I113" s="1" t="s">
        <v>136</v>
      </c>
      <c r="J113" s="11">
        <v>3</v>
      </c>
      <c r="K113" s="6"/>
      <c r="L113" s="3" t="s">
        <v>33</v>
      </c>
      <c r="M113" s="4">
        <v>22</v>
      </c>
      <c r="N113" s="17" t="s">
        <v>29</v>
      </c>
    </row>
    <row r="114" spans="1:14" ht="30">
      <c r="A114" s="1" t="s">
        <v>19</v>
      </c>
      <c r="B114" s="8">
        <v>46043</v>
      </c>
      <c r="C114" s="9">
        <v>0.375</v>
      </c>
      <c r="D114" s="9">
        <v>0.4375</v>
      </c>
      <c r="E114" s="10">
        <f t="shared" ref="E114" si="28">D114-C114</f>
        <v>6.25E-2</v>
      </c>
      <c r="F114" s="10">
        <v>0</v>
      </c>
      <c r="G114" s="1" t="s">
        <v>222</v>
      </c>
      <c r="H114" s="1" t="s">
        <v>224</v>
      </c>
      <c r="I114" s="1" t="s">
        <v>134</v>
      </c>
      <c r="J114" s="11">
        <v>3</v>
      </c>
      <c r="K114" s="6"/>
      <c r="L114" s="3" t="s">
        <v>33</v>
      </c>
      <c r="M114" s="4">
        <v>19</v>
      </c>
      <c r="N114" s="17" t="s">
        <v>79</v>
      </c>
    </row>
    <row r="115" spans="1:14" ht="30">
      <c r="A115" s="1" t="s">
        <v>19</v>
      </c>
      <c r="B115" s="8">
        <v>46043</v>
      </c>
      <c r="C115" s="9">
        <v>0.375</v>
      </c>
      <c r="D115" s="9">
        <v>0.4375</v>
      </c>
      <c r="E115" s="10">
        <f t="shared" si="25"/>
        <v>6.25E-2</v>
      </c>
      <c r="F115" s="10">
        <v>0</v>
      </c>
      <c r="G115" s="1" t="s">
        <v>222</v>
      </c>
      <c r="H115" s="1" t="s">
        <v>224</v>
      </c>
      <c r="I115" s="1" t="s">
        <v>195</v>
      </c>
      <c r="J115" s="11">
        <v>3</v>
      </c>
      <c r="K115" s="6"/>
      <c r="L115" s="3" t="s">
        <v>33</v>
      </c>
      <c r="M115" s="4">
        <v>32</v>
      </c>
      <c r="N115" s="17" t="s">
        <v>48</v>
      </c>
    </row>
    <row r="116" spans="1:14" ht="30">
      <c r="A116" s="1" t="s">
        <v>19</v>
      </c>
      <c r="B116" s="8">
        <v>46043</v>
      </c>
      <c r="C116" s="9">
        <v>0.375</v>
      </c>
      <c r="D116" s="9">
        <v>0.4548611111111111</v>
      </c>
      <c r="E116" s="10">
        <f t="shared" ref="E116" si="29">D116-C116</f>
        <v>7.9861111111111105E-2</v>
      </c>
      <c r="F116" s="10">
        <v>0</v>
      </c>
      <c r="G116" s="1" t="s">
        <v>222</v>
      </c>
      <c r="H116" s="1" t="s">
        <v>224</v>
      </c>
      <c r="I116" s="1" t="s">
        <v>195</v>
      </c>
      <c r="J116" s="11">
        <v>3</v>
      </c>
      <c r="K116" s="6" t="s">
        <v>39</v>
      </c>
      <c r="L116" s="3" t="s">
        <v>33</v>
      </c>
      <c r="M116" s="4">
        <v>1</v>
      </c>
      <c r="N116" s="17" t="s">
        <v>58</v>
      </c>
    </row>
    <row r="117" spans="1:14">
      <c r="A117" s="1" t="s">
        <v>19</v>
      </c>
      <c r="B117" s="8">
        <v>46043</v>
      </c>
      <c r="C117" s="9">
        <v>0.375</v>
      </c>
      <c r="D117" s="9">
        <v>0.4375</v>
      </c>
      <c r="E117" s="10">
        <f t="shared" si="25"/>
        <v>6.25E-2</v>
      </c>
      <c r="F117" s="10">
        <v>0</v>
      </c>
      <c r="G117" s="1" t="s">
        <v>225</v>
      </c>
      <c r="H117" s="1" t="s">
        <v>226</v>
      </c>
      <c r="I117" s="1" t="s">
        <v>227</v>
      </c>
      <c r="J117" s="11" t="s">
        <v>206</v>
      </c>
      <c r="K117" s="6"/>
      <c r="L117" s="3" t="s">
        <v>33</v>
      </c>
      <c r="M117" s="4">
        <v>37</v>
      </c>
      <c r="N117" s="17" t="s">
        <v>50</v>
      </c>
    </row>
    <row r="118" spans="1:14" ht="30">
      <c r="A118" s="1" t="s">
        <v>19</v>
      </c>
      <c r="B118" s="8">
        <v>46043</v>
      </c>
      <c r="C118" s="9">
        <v>0.5625</v>
      </c>
      <c r="D118" s="9">
        <v>0.625</v>
      </c>
      <c r="E118" s="10">
        <f t="shared" si="25"/>
        <v>6.25E-2</v>
      </c>
      <c r="F118" s="10">
        <v>0</v>
      </c>
      <c r="G118" s="1" t="s">
        <v>228</v>
      </c>
      <c r="H118" s="1" t="s">
        <v>229</v>
      </c>
      <c r="I118" s="1" t="s">
        <v>230</v>
      </c>
      <c r="J118" s="11">
        <v>5</v>
      </c>
      <c r="K118" s="6"/>
      <c r="L118" s="3" t="s">
        <v>33</v>
      </c>
      <c r="M118" s="4">
        <v>9</v>
      </c>
      <c r="N118" s="17" t="s">
        <v>79</v>
      </c>
    </row>
    <row r="119" spans="1:14" s="22" customFormat="1">
      <c r="A119" s="1" t="s">
        <v>51</v>
      </c>
      <c r="B119" s="8">
        <v>46044</v>
      </c>
      <c r="C119" s="9">
        <v>0.375</v>
      </c>
      <c r="D119" s="9">
        <v>0.41666666666666669</v>
      </c>
      <c r="E119" s="10">
        <f t="shared" si="25"/>
        <v>4.1666666666666685E-2</v>
      </c>
      <c r="F119" s="10">
        <v>0</v>
      </c>
      <c r="G119" s="1" t="s">
        <v>231</v>
      </c>
      <c r="H119" s="1" t="s">
        <v>232</v>
      </c>
      <c r="I119" s="1" t="s">
        <v>88</v>
      </c>
      <c r="J119" s="11">
        <v>1</v>
      </c>
      <c r="K119" s="6"/>
      <c r="L119" s="3" t="s">
        <v>33</v>
      </c>
      <c r="M119" s="4">
        <v>32</v>
      </c>
      <c r="N119" s="17" t="s">
        <v>48</v>
      </c>
    </row>
    <row r="120" spans="1:14" s="22" customFormat="1">
      <c r="A120" s="1" t="s">
        <v>51</v>
      </c>
      <c r="B120" s="8">
        <v>46044</v>
      </c>
      <c r="C120" s="9">
        <v>0.375</v>
      </c>
      <c r="D120" s="9">
        <v>0.41666666666666669</v>
      </c>
      <c r="E120" s="10">
        <f t="shared" si="25"/>
        <v>4.1666666666666685E-2</v>
      </c>
      <c r="F120" s="10">
        <v>0</v>
      </c>
      <c r="G120" s="1" t="s">
        <v>231</v>
      </c>
      <c r="H120" s="1" t="s">
        <v>233</v>
      </c>
      <c r="I120" s="1" t="s">
        <v>90</v>
      </c>
      <c r="J120" s="11">
        <v>1</v>
      </c>
      <c r="K120" s="6"/>
      <c r="L120" s="3" t="s">
        <v>33</v>
      </c>
      <c r="M120" s="4">
        <v>44</v>
      </c>
      <c r="N120" s="23" t="s">
        <v>38</v>
      </c>
    </row>
    <row r="121" spans="1:14" s="22" customFormat="1">
      <c r="A121" s="1" t="s">
        <v>51</v>
      </c>
      <c r="B121" s="8">
        <v>46044</v>
      </c>
      <c r="C121" s="9">
        <v>0.375</v>
      </c>
      <c r="D121" s="9">
        <v>0.42708333333333331</v>
      </c>
      <c r="E121" s="10">
        <f t="shared" ref="E121" si="30">D121-C121</f>
        <v>5.2083333333333315E-2</v>
      </c>
      <c r="F121" s="10">
        <v>0</v>
      </c>
      <c r="G121" s="1" t="s">
        <v>231</v>
      </c>
      <c r="H121" s="1" t="s">
        <v>233</v>
      </c>
      <c r="I121" s="1" t="s">
        <v>90</v>
      </c>
      <c r="J121" s="11">
        <v>1</v>
      </c>
      <c r="K121" s="6" t="s">
        <v>39</v>
      </c>
      <c r="L121" s="3" t="s">
        <v>33</v>
      </c>
      <c r="M121" s="4">
        <v>1</v>
      </c>
      <c r="N121" s="17" t="s">
        <v>75</v>
      </c>
    </row>
    <row r="122" spans="1:14" s="22" customFormat="1">
      <c r="A122" s="1" t="s">
        <v>51</v>
      </c>
      <c r="B122" s="8">
        <v>46044</v>
      </c>
      <c r="C122" s="9">
        <v>0.375</v>
      </c>
      <c r="D122" s="9">
        <v>0.41666666666666669</v>
      </c>
      <c r="E122" s="10">
        <f t="shared" si="25"/>
        <v>4.1666666666666685E-2</v>
      </c>
      <c r="F122" s="10">
        <v>0</v>
      </c>
      <c r="G122" s="1" t="s">
        <v>231</v>
      </c>
      <c r="H122" s="1" t="s">
        <v>234</v>
      </c>
      <c r="I122" s="1" t="s">
        <v>92</v>
      </c>
      <c r="J122" s="11">
        <v>1</v>
      </c>
      <c r="K122" s="6"/>
      <c r="L122" s="3" t="s">
        <v>33</v>
      </c>
      <c r="M122" s="4">
        <v>19</v>
      </c>
      <c r="N122" s="17" t="s">
        <v>40</v>
      </c>
    </row>
    <row r="123" spans="1:14" ht="30">
      <c r="A123" s="1" t="s">
        <v>51</v>
      </c>
      <c r="B123" s="8">
        <v>46044</v>
      </c>
      <c r="C123" s="9">
        <v>0.375</v>
      </c>
      <c r="D123" s="9">
        <v>0.4375</v>
      </c>
      <c r="E123" s="10">
        <f>D123-C123</f>
        <v>6.25E-2</v>
      </c>
      <c r="F123" s="10">
        <v>0</v>
      </c>
      <c r="G123" s="1" t="s">
        <v>235</v>
      </c>
      <c r="H123" s="1" t="s">
        <v>236</v>
      </c>
      <c r="I123" s="1" t="s">
        <v>237</v>
      </c>
      <c r="J123" s="11"/>
      <c r="K123" s="6"/>
      <c r="L123" s="3" t="s">
        <v>18</v>
      </c>
      <c r="M123" s="4">
        <v>22</v>
      </c>
      <c r="N123" s="17" t="s">
        <v>151</v>
      </c>
    </row>
    <row r="124" spans="1:14" ht="30">
      <c r="A124" s="1" t="s">
        <v>51</v>
      </c>
      <c r="B124" s="8">
        <v>46044</v>
      </c>
      <c r="C124" s="9">
        <v>0.45833333333333331</v>
      </c>
      <c r="D124" s="9">
        <v>0.5</v>
      </c>
      <c r="E124" s="10">
        <f t="shared" ref="E124:E125" si="31">D124-C124</f>
        <v>4.1666666666666685E-2</v>
      </c>
      <c r="F124" s="10">
        <v>0</v>
      </c>
      <c r="G124" s="1" t="s">
        <v>238</v>
      </c>
      <c r="H124" s="1" t="s">
        <v>239</v>
      </c>
      <c r="I124" s="1" t="s">
        <v>83</v>
      </c>
      <c r="J124" s="11"/>
      <c r="K124" s="6"/>
      <c r="L124" s="3" t="s">
        <v>18</v>
      </c>
      <c r="M124" s="4">
        <v>25</v>
      </c>
      <c r="N124" s="17" t="s">
        <v>151</v>
      </c>
    </row>
    <row r="125" spans="1:14" ht="30">
      <c r="A125" s="1" t="s">
        <v>51</v>
      </c>
      <c r="B125" s="8">
        <v>46044</v>
      </c>
      <c r="C125" s="9">
        <v>0.45833333333333331</v>
      </c>
      <c r="D125" s="9">
        <v>0.51041666666666663</v>
      </c>
      <c r="E125" s="10">
        <f t="shared" si="31"/>
        <v>5.2083333333333315E-2</v>
      </c>
      <c r="F125" s="10">
        <v>0</v>
      </c>
      <c r="G125" s="1" t="s">
        <v>238</v>
      </c>
      <c r="H125" s="1" t="s">
        <v>239</v>
      </c>
      <c r="I125" s="1" t="s">
        <v>83</v>
      </c>
      <c r="J125" s="11"/>
      <c r="K125" s="6" t="s">
        <v>39</v>
      </c>
      <c r="L125" s="3" t="s">
        <v>18</v>
      </c>
      <c r="M125" s="4">
        <v>3</v>
      </c>
      <c r="N125" s="17" t="s">
        <v>191</v>
      </c>
    </row>
    <row r="126" spans="1:14">
      <c r="A126" s="1" t="s">
        <v>51</v>
      </c>
      <c r="B126" s="8">
        <v>46044</v>
      </c>
      <c r="C126" s="9">
        <v>0.54166666666666663</v>
      </c>
      <c r="D126" s="9">
        <v>0.58333333333333337</v>
      </c>
      <c r="E126" s="10">
        <f t="shared" si="25"/>
        <v>4.1666666666666741E-2</v>
      </c>
      <c r="F126" s="10">
        <v>0</v>
      </c>
      <c r="G126" s="1" t="s">
        <v>240</v>
      </c>
      <c r="H126" s="1" t="s">
        <v>241</v>
      </c>
      <c r="I126" s="1" t="s">
        <v>242</v>
      </c>
      <c r="J126" s="11" t="s">
        <v>206</v>
      </c>
      <c r="K126" s="6"/>
      <c r="L126" s="3" t="s">
        <v>33</v>
      </c>
      <c r="M126" s="4">
        <v>52</v>
      </c>
      <c r="N126" s="17" t="s">
        <v>243</v>
      </c>
    </row>
    <row r="127" spans="1:14">
      <c r="A127" s="1" t="s">
        <v>51</v>
      </c>
      <c r="B127" s="8">
        <v>46044</v>
      </c>
      <c r="C127" s="9">
        <v>0.54166666666666663</v>
      </c>
      <c r="D127" s="9">
        <v>0.59375</v>
      </c>
      <c r="E127" s="10">
        <f t="shared" ref="E127" si="32">D127-C127</f>
        <v>5.208333333333337E-2</v>
      </c>
      <c r="F127" s="10">
        <v>0</v>
      </c>
      <c r="G127" s="1" t="s">
        <v>240</v>
      </c>
      <c r="H127" s="1" t="s">
        <v>241</v>
      </c>
      <c r="I127" s="1" t="s">
        <v>242</v>
      </c>
      <c r="J127" s="11" t="s">
        <v>206</v>
      </c>
      <c r="K127" s="6" t="s">
        <v>39</v>
      </c>
      <c r="L127" s="3" t="s">
        <v>33</v>
      </c>
      <c r="M127" s="4">
        <v>2</v>
      </c>
      <c r="N127" s="17" t="s">
        <v>191</v>
      </c>
    </row>
    <row r="128" spans="1:14" s="22" customFormat="1" ht="30">
      <c r="A128" s="1" t="s">
        <v>51</v>
      </c>
      <c r="B128" s="8">
        <v>46044</v>
      </c>
      <c r="C128" s="9">
        <v>0.625</v>
      </c>
      <c r="D128" s="9">
        <v>0.66666666666666663</v>
      </c>
      <c r="E128" s="10">
        <f t="shared" si="25"/>
        <v>4.166666666666663E-2</v>
      </c>
      <c r="F128" s="10">
        <v>0</v>
      </c>
      <c r="G128" s="1" t="s">
        <v>231</v>
      </c>
      <c r="H128" s="1" t="s">
        <v>244</v>
      </c>
      <c r="I128" s="1" t="s">
        <v>95</v>
      </c>
      <c r="J128" s="11">
        <v>1</v>
      </c>
      <c r="K128" s="6"/>
      <c r="L128" s="3" t="s">
        <v>33</v>
      </c>
      <c r="M128" s="4">
        <v>46</v>
      </c>
      <c r="N128" s="17" t="s">
        <v>245</v>
      </c>
    </row>
    <row r="129" spans="1:14" s="22" customFormat="1">
      <c r="A129" s="1" t="s">
        <v>51</v>
      </c>
      <c r="B129" s="8">
        <v>46044</v>
      </c>
      <c r="C129" s="9">
        <v>0.625</v>
      </c>
      <c r="D129" s="9">
        <v>0.67708333333333337</v>
      </c>
      <c r="E129" s="10">
        <f t="shared" ref="E129" si="33">D129-C129</f>
        <v>5.208333333333337E-2</v>
      </c>
      <c r="F129" s="10">
        <v>0</v>
      </c>
      <c r="G129" s="1" t="s">
        <v>231</v>
      </c>
      <c r="H129" s="1" t="s">
        <v>244</v>
      </c>
      <c r="I129" s="1" t="s">
        <v>95</v>
      </c>
      <c r="J129" s="11">
        <v>1</v>
      </c>
      <c r="K129" s="6" t="s">
        <v>39</v>
      </c>
      <c r="L129" s="3" t="s">
        <v>33</v>
      </c>
      <c r="M129" s="4">
        <v>1</v>
      </c>
      <c r="N129" s="17" t="s">
        <v>177</v>
      </c>
    </row>
    <row r="130" spans="1:14" s="22" customFormat="1">
      <c r="A130" s="1" t="s">
        <v>51</v>
      </c>
      <c r="B130" s="8">
        <v>46044</v>
      </c>
      <c r="C130" s="9">
        <v>0.625</v>
      </c>
      <c r="D130" s="9">
        <v>0.66666666666666663</v>
      </c>
      <c r="E130" s="10">
        <f t="shared" si="25"/>
        <v>4.166666666666663E-2</v>
      </c>
      <c r="F130" s="10">
        <v>0</v>
      </c>
      <c r="G130" s="1" t="s">
        <v>231</v>
      </c>
      <c r="H130" s="1" t="s">
        <v>246</v>
      </c>
      <c r="I130" s="1" t="s">
        <v>97</v>
      </c>
      <c r="J130" s="11">
        <v>1</v>
      </c>
      <c r="K130" s="6"/>
      <c r="L130" s="3" t="s">
        <v>33</v>
      </c>
      <c r="M130" s="4">
        <v>40</v>
      </c>
      <c r="N130" s="17" t="s">
        <v>50</v>
      </c>
    </row>
    <row r="131" spans="1:14" s="22" customFormat="1">
      <c r="A131" s="1" t="s">
        <v>51</v>
      </c>
      <c r="B131" s="8">
        <v>46044</v>
      </c>
      <c r="C131" s="9">
        <v>0.625</v>
      </c>
      <c r="D131" s="9">
        <v>0.67708333333333337</v>
      </c>
      <c r="E131" s="10">
        <f t="shared" ref="E131" si="34">D131-C131</f>
        <v>5.208333333333337E-2</v>
      </c>
      <c r="F131" s="10">
        <v>0</v>
      </c>
      <c r="G131" s="1" t="s">
        <v>231</v>
      </c>
      <c r="H131" s="1" t="s">
        <v>246</v>
      </c>
      <c r="I131" s="1" t="s">
        <v>97</v>
      </c>
      <c r="J131" s="11">
        <v>1</v>
      </c>
      <c r="K131" s="6" t="s">
        <v>39</v>
      </c>
      <c r="L131" s="3" t="s">
        <v>33</v>
      </c>
      <c r="M131" s="4">
        <v>1</v>
      </c>
      <c r="N131" s="17" t="s">
        <v>247</v>
      </c>
    </row>
    <row r="132" spans="1:14">
      <c r="A132" s="1" t="s">
        <v>166</v>
      </c>
      <c r="B132" s="8">
        <v>46045</v>
      </c>
      <c r="C132" s="9">
        <v>0.375</v>
      </c>
      <c r="D132" s="9">
        <v>0.4375</v>
      </c>
      <c r="E132" s="10">
        <f t="shared" si="25"/>
        <v>6.25E-2</v>
      </c>
      <c r="F132" s="10">
        <v>0</v>
      </c>
      <c r="G132" s="1" t="s">
        <v>248</v>
      </c>
      <c r="H132" s="1" t="s">
        <v>249</v>
      </c>
      <c r="I132" s="1" t="s">
        <v>88</v>
      </c>
      <c r="J132" s="11">
        <v>1</v>
      </c>
      <c r="K132" s="6"/>
      <c r="L132" s="3" t="s">
        <v>33</v>
      </c>
      <c r="M132" s="4">
        <v>33</v>
      </c>
      <c r="N132" s="17" t="s">
        <v>48</v>
      </c>
    </row>
    <row r="133" spans="1:14">
      <c r="A133" s="1" t="s">
        <v>166</v>
      </c>
      <c r="B133" s="8">
        <v>46045</v>
      </c>
      <c r="C133" s="9">
        <v>0.375</v>
      </c>
      <c r="D133" s="9">
        <v>0.4375</v>
      </c>
      <c r="E133" s="10">
        <f t="shared" si="25"/>
        <v>6.25E-2</v>
      </c>
      <c r="F133" s="10">
        <v>0</v>
      </c>
      <c r="G133" s="1" t="s">
        <v>248</v>
      </c>
      <c r="H133" s="1" t="s">
        <v>249</v>
      </c>
      <c r="I133" s="1" t="s">
        <v>90</v>
      </c>
      <c r="J133" s="11">
        <v>1</v>
      </c>
      <c r="K133" s="6"/>
      <c r="L133" s="3" t="s">
        <v>33</v>
      </c>
      <c r="M133" s="4">
        <v>41</v>
      </c>
      <c r="N133" s="26" t="s">
        <v>38</v>
      </c>
    </row>
    <row r="134" spans="1:14">
      <c r="A134" s="1" t="s">
        <v>166</v>
      </c>
      <c r="B134" s="8">
        <v>46045</v>
      </c>
      <c r="C134" s="9">
        <v>0.375</v>
      </c>
      <c r="D134" s="9">
        <v>0.4548611111111111</v>
      </c>
      <c r="E134" s="10">
        <f t="shared" ref="E134" si="35">D134-C134</f>
        <v>7.9861111111111105E-2</v>
      </c>
      <c r="F134" s="10">
        <v>0</v>
      </c>
      <c r="G134" s="1" t="s">
        <v>248</v>
      </c>
      <c r="H134" s="1" t="s">
        <v>249</v>
      </c>
      <c r="I134" s="1" t="s">
        <v>90</v>
      </c>
      <c r="J134" s="11">
        <v>1</v>
      </c>
      <c r="K134" s="6" t="s">
        <v>39</v>
      </c>
      <c r="L134" s="3" t="s">
        <v>33</v>
      </c>
      <c r="M134" s="4">
        <v>1</v>
      </c>
      <c r="N134" s="26" t="s">
        <v>177</v>
      </c>
    </row>
    <row r="135" spans="1:14" ht="30">
      <c r="A135" s="1" t="s">
        <v>166</v>
      </c>
      <c r="B135" s="8">
        <v>46045</v>
      </c>
      <c r="C135" s="9">
        <v>0.375</v>
      </c>
      <c r="D135" s="9">
        <v>0.4375</v>
      </c>
      <c r="E135" s="10">
        <f t="shared" si="25"/>
        <v>6.25E-2</v>
      </c>
      <c r="F135" s="10">
        <v>0</v>
      </c>
      <c r="G135" s="1" t="s">
        <v>248</v>
      </c>
      <c r="H135" s="1" t="s">
        <v>250</v>
      </c>
      <c r="I135" s="1" t="s">
        <v>92</v>
      </c>
      <c r="J135" s="11">
        <v>1</v>
      </c>
      <c r="K135" s="6"/>
      <c r="L135" s="3" t="s">
        <v>33</v>
      </c>
      <c r="M135" s="4">
        <v>15</v>
      </c>
      <c r="N135" s="26" t="s">
        <v>75</v>
      </c>
    </row>
    <row r="136" spans="1:14">
      <c r="A136" s="1" t="s">
        <v>166</v>
      </c>
      <c r="B136" s="8">
        <v>46045</v>
      </c>
      <c r="C136" s="9">
        <v>0.375</v>
      </c>
      <c r="D136" s="9">
        <v>0.4375</v>
      </c>
      <c r="E136" s="10">
        <f t="shared" si="25"/>
        <v>6.25E-2</v>
      </c>
      <c r="F136" s="10">
        <v>0</v>
      </c>
      <c r="G136" s="1" t="s">
        <v>248</v>
      </c>
      <c r="H136" s="1" t="s">
        <v>249</v>
      </c>
      <c r="I136" s="1" t="s">
        <v>95</v>
      </c>
      <c r="J136" s="11">
        <v>1</v>
      </c>
      <c r="K136" s="6"/>
      <c r="L136" s="3" t="s">
        <v>33</v>
      </c>
      <c r="M136" s="4">
        <v>44</v>
      </c>
      <c r="N136" s="26" t="s">
        <v>26</v>
      </c>
    </row>
    <row r="137" spans="1:14">
      <c r="A137" s="1" t="s">
        <v>166</v>
      </c>
      <c r="B137" s="8">
        <v>46045</v>
      </c>
      <c r="C137" s="9">
        <v>0.375</v>
      </c>
      <c r="D137" s="9">
        <v>0.4548611111111111</v>
      </c>
      <c r="E137" s="10">
        <f t="shared" ref="E137" si="36">D137-C137</f>
        <v>7.9861111111111105E-2</v>
      </c>
      <c r="F137" s="10">
        <v>0</v>
      </c>
      <c r="G137" s="1" t="s">
        <v>248</v>
      </c>
      <c r="H137" s="1" t="s">
        <v>249</v>
      </c>
      <c r="I137" s="1" t="s">
        <v>95</v>
      </c>
      <c r="J137" s="11">
        <v>1</v>
      </c>
      <c r="K137" s="6" t="s">
        <v>39</v>
      </c>
      <c r="L137" s="3" t="s">
        <v>33</v>
      </c>
      <c r="M137" s="4">
        <v>1</v>
      </c>
      <c r="N137" s="26" t="s">
        <v>247</v>
      </c>
    </row>
    <row r="138" spans="1:14">
      <c r="A138" s="1" t="s">
        <v>166</v>
      </c>
      <c r="B138" s="8">
        <v>46045</v>
      </c>
      <c r="C138" s="9">
        <v>0.375</v>
      </c>
      <c r="D138" s="9">
        <v>0.4375</v>
      </c>
      <c r="E138" s="10">
        <f t="shared" si="25"/>
        <v>6.25E-2</v>
      </c>
      <c r="F138" s="10">
        <v>0</v>
      </c>
      <c r="G138" s="1" t="s">
        <v>248</v>
      </c>
      <c r="H138" s="1" t="s">
        <v>249</v>
      </c>
      <c r="I138" s="1" t="s">
        <v>97</v>
      </c>
      <c r="J138" s="11">
        <v>1</v>
      </c>
      <c r="K138" s="6"/>
      <c r="L138" s="3" t="s">
        <v>33</v>
      </c>
      <c r="M138" s="4">
        <v>37</v>
      </c>
      <c r="N138" s="26" t="s">
        <v>50</v>
      </c>
    </row>
    <row r="139" spans="1:14">
      <c r="A139" s="1" t="s">
        <v>166</v>
      </c>
      <c r="B139" s="8">
        <v>46045</v>
      </c>
      <c r="C139" s="9">
        <v>0.375</v>
      </c>
      <c r="D139" s="9">
        <v>0.4548611111111111</v>
      </c>
      <c r="E139" s="10">
        <f t="shared" ref="E139" si="37">D139-C139</f>
        <v>7.9861111111111105E-2</v>
      </c>
      <c r="F139" s="10">
        <v>0</v>
      </c>
      <c r="G139" s="1" t="s">
        <v>248</v>
      </c>
      <c r="H139" s="1" t="s">
        <v>249</v>
      </c>
      <c r="I139" s="1" t="s">
        <v>97</v>
      </c>
      <c r="J139" s="11">
        <v>1</v>
      </c>
      <c r="K139" s="6" t="s">
        <v>39</v>
      </c>
      <c r="L139" s="3" t="s">
        <v>33</v>
      </c>
      <c r="M139" s="4">
        <v>1</v>
      </c>
      <c r="N139" s="26" t="s">
        <v>129</v>
      </c>
    </row>
    <row r="140" spans="1:14" ht="30">
      <c r="A140" s="1" t="s">
        <v>166</v>
      </c>
      <c r="B140" s="8">
        <v>46045</v>
      </c>
      <c r="C140" s="9">
        <v>0.375</v>
      </c>
      <c r="D140" s="9">
        <v>0.41666666666666669</v>
      </c>
      <c r="E140" s="10">
        <f t="shared" si="25"/>
        <v>4.1666666666666685E-2</v>
      </c>
      <c r="F140" s="10">
        <v>0</v>
      </c>
      <c r="G140" s="1" t="s">
        <v>251</v>
      </c>
      <c r="H140" s="1" t="s">
        <v>239</v>
      </c>
      <c r="I140" s="1" t="s">
        <v>252</v>
      </c>
      <c r="J140" s="11">
        <v>3</v>
      </c>
      <c r="K140" s="6"/>
      <c r="L140" s="3" t="s">
        <v>18</v>
      </c>
      <c r="M140" s="4">
        <v>103</v>
      </c>
      <c r="N140" s="27" t="s">
        <v>253</v>
      </c>
    </row>
    <row r="141" spans="1:14">
      <c r="A141" s="1" t="s">
        <v>166</v>
      </c>
      <c r="B141" s="8">
        <v>46045</v>
      </c>
      <c r="C141" s="9">
        <v>0.375</v>
      </c>
      <c r="D141" s="9">
        <v>0.42708333333333331</v>
      </c>
      <c r="E141" s="10">
        <f t="shared" ref="E141:E142" si="38">D141-C141</f>
        <v>5.2083333333333315E-2</v>
      </c>
      <c r="F141" s="10">
        <v>0</v>
      </c>
      <c r="G141" s="1" t="s">
        <v>251</v>
      </c>
      <c r="H141" s="1" t="s">
        <v>239</v>
      </c>
      <c r="I141" s="1" t="s">
        <v>252</v>
      </c>
      <c r="J141" s="11">
        <v>3</v>
      </c>
      <c r="K141" s="6" t="s">
        <v>39</v>
      </c>
      <c r="L141" s="3" t="s">
        <v>18</v>
      </c>
      <c r="M141" s="4">
        <v>4</v>
      </c>
      <c r="N141" s="26" t="s">
        <v>191</v>
      </c>
    </row>
    <row r="142" spans="1:14">
      <c r="A142" s="1" t="s">
        <v>166</v>
      </c>
      <c r="B142" s="8">
        <v>46045</v>
      </c>
      <c r="C142" s="9">
        <v>0.375</v>
      </c>
      <c r="D142" s="9">
        <v>0.43055555555555558</v>
      </c>
      <c r="E142" s="10">
        <f t="shared" si="38"/>
        <v>5.555555555555558E-2</v>
      </c>
      <c r="F142" s="10">
        <v>0</v>
      </c>
      <c r="G142" s="1" t="s">
        <v>251</v>
      </c>
      <c r="H142" s="1" t="s">
        <v>239</v>
      </c>
      <c r="I142" s="1" t="s">
        <v>252</v>
      </c>
      <c r="J142" s="11">
        <v>3</v>
      </c>
      <c r="K142" s="6" t="s">
        <v>39</v>
      </c>
      <c r="L142" s="3" t="s">
        <v>18</v>
      </c>
      <c r="M142" s="4">
        <v>1</v>
      </c>
      <c r="N142" s="26" t="s">
        <v>157</v>
      </c>
    </row>
    <row r="143" spans="1:14">
      <c r="A143" s="1" t="s">
        <v>166</v>
      </c>
      <c r="B143" s="8">
        <v>46045</v>
      </c>
      <c r="C143" s="9">
        <v>0.5625</v>
      </c>
      <c r="D143" s="9">
        <v>0.59375</v>
      </c>
      <c r="E143" s="10">
        <f t="shared" ref="E143" si="39">D143-C143</f>
        <v>3.125E-2</v>
      </c>
      <c r="F143" s="10">
        <v>0</v>
      </c>
      <c r="G143" s="1" t="s">
        <v>254</v>
      </c>
      <c r="H143" s="1" t="s">
        <v>255</v>
      </c>
      <c r="I143" s="1" t="s">
        <v>105</v>
      </c>
      <c r="J143" s="11">
        <v>1</v>
      </c>
      <c r="K143" s="6"/>
      <c r="L143" s="3" t="s">
        <v>33</v>
      </c>
      <c r="M143" s="4">
        <v>32</v>
      </c>
      <c r="N143" s="26" t="s">
        <v>38</v>
      </c>
    </row>
    <row r="144" spans="1:14">
      <c r="A144" s="1" t="s">
        <v>166</v>
      </c>
      <c r="B144" s="8">
        <v>46045</v>
      </c>
      <c r="C144" s="9">
        <v>0.5625</v>
      </c>
      <c r="D144" s="9">
        <v>0.60416666666666663</v>
      </c>
      <c r="E144" s="10">
        <f t="shared" si="25"/>
        <v>4.166666666666663E-2</v>
      </c>
      <c r="F144" s="10">
        <v>0</v>
      </c>
      <c r="G144" s="1" t="s">
        <v>254</v>
      </c>
      <c r="H144" s="1" t="s">
        <v>255</v>
      </c>
      <c r="I144" s="1" t="s">
        <v>105</v>
      </c>
      <c r="J144" s="11">
        <v>1</v>
      </c>
      <c r="K144" s="6" t="s">
        <v>39</v>
      </c>
      <c r="L144" s="3" t="s">
        <v>33</v>
      </c>
      <c r="M144" s="4">
        <v>3</v>
      </c>
      <c r="N144" s="26" t="s">
        <v>75</v>
      </c>
    </row>
    <row r="145" spans="1:14">
      <c r="A145" s="1" t="s">
        <v>192</v>
      </c>
      <c r="B145" s="8">
        <v>46046</v>
      </c>
      <c r="C145" s="9">
        <v>0.35416666666666669</v>
      </c>
      <c r="D145" s="9">
        <v>0.39583333333333331</v>
      </c>
      <c r="E145" s="10">
        <f t="shared" si="25"/>
        <v>4.166666666666663E-2</v>
      </c>
      <c r="F145" s="10">
        <v>0</v>
      </c>
      <c r="G145" s="1" t="s">
        <v>256</v>
      </c>
      <c r="H145" s="1" t="s">
        <v>257</v>
      </c>
      <c r="I145" s="1" t="s">
        <v>258</v>
      </c>
      <c r="J145" s="11">
        <v>3</v>
      </c>
      <c r="K145" s="6"/>
      <c r="L145" s="3" t="s">
        <v>18</v>
      </c>
      <c r="M145" s="4">
        <v>73</v>
      </c>
      <c r="N145" s="17" t="s">
        <v>61</v>
      </c>
    </row>
    <row r="146" spans="1:14">
      <c r="A146" s="1" t="s">
        <v>192</v>
      </c>
      <c r="B146" s="8">
        <v>46046</v>
      </c>
      <c r="C146" s="9">
        <v>0.35416666666666669</v>
      </c>
      <c r="D146" s="9">
        <v>0.40625</v>
      </c>
      <c r="E146" s="10">
        <f t="shared" ref="E146" si="40">D146-C146</f>
        <v>5.2083333333333315E-2</v>
      </c>
      <c r="F146" s="10">
        <v>0</v>
      </c>
      <c r="G146" s="1" t="s">
        <v>256</v>
      </c>
      <c r="H146" s="1" t="s">
        <v>257</v>
      </c>
      <c r="I146" s="1" t="s">
        <v>258</v>
      </c>
      <c r="J146" s="11">
        <v>3</v>
      </c>
      <c r="K146" s="6" t="s">
        <v>39</v>
      </c>
      <c r="L146" s="3" t="s">
        <v>18</v>
      </c>
      <c r="M146" s="4">
        <v>4</v>
      </c>
      <c r="N146" s="17" t="s">
        <v>75</v>
      </c>
    </row>
    <row r="147" spans="1:14" ht="30">
      <c r="A147" s="1" t="s">
        <v>192</v>
      </c>
      <c r="B147" s="8">
        <v>46046</v>
      </c>
      <c r="C147" s="9">
        <v>0.375</v>
      </c>
      <c r="D147" s="9">
        <v>0.4375</v>
      </c>
      <c r="E147" s="10">
        <f t="shared" si="25"/>
        <v>6.25E-2</v>
      </c>
      <c r="F147" s="10">
        <v>0</v>
      </c>
      <c r="G147" s="1" t="s">
        <v>259</v>
      </c>
      <c r="H147" s="1" t="s">
        <v>260</v>
      </c>
      <c r="I147" s="1" t="s">
        <v>134</v>
      </c>
      <c r="J147" s="11">
        <v>3</v>
      </c>
      <c r="K147" s="6"/>
      <c r="L147" s="3" t="s">
        <v>18</v>
      </c>
      <c r="M147" s="4">
        <v>26</v>
      </c>
      <c r="N147" s="17" t="s">
        <v>48</v>
      </c>
    </row>
    <row r="148" spans="1:14" ht="30">
      <c r="A148" s="1" t="s">
        <v>192</v>
      </c>
      <c r="B148" s="8">
        <v>46046</v>
      </c>
      <c r="C148" s="9">
        <v>0.375</v>
      </c>
      <c r="D148" s="9">
        <v>0.4375</v>
      </c>
      <c r="E148" s="10">
        <f t="shared" si="25"/>
        <v>6.25E-2</v>
      </c>
      <c r="F148" s="10">
        <v>0</v>
      </c>
      <c r="G148" s="1" t="s">
        <v>259</v>
      </c>
      <c r="H148" s="1" t="s">
        <v>260</v>
      </c>
      <c r="I148" s="1" t="s">
        <v>261</v>
      </c>
      <c r="J148" s="11">
        <v>3</v>
      </c>
      <c r="K148" s="6"/>
      <c r="L148" s="3" t="s">
        <v>18</v>
      </c>
      <c r="M148" s="4">
        <v>48</v>
      </c>
      <c r="N148" s="17" t="s">
        <v>38</v>
      </c>
    </row>
    <row r="149" spans="1:14" ht="30">
      <c r="A149" s="1" t="s">
        <v>192</v>
      </c>
      <c r="B149" s="8">
        <v>46046</v>
      </c>
      <c r="C149" s="9">
        <v>0.375</v>
      </c>
      <c r="D149" s="9">
        <v>0.4548611111111111</v>
      </c>
      <c r="E149" s="10">
        <f t="shared" ref="E149" si="41">D149-C149</f>
        <v>7.9861111111111105E-2</v>
      </c>
      <c r="F149" s="10">
        <v>0</v>
      </c>
      <c r="G149" s="1" t="s">
        <v>259</v>
      </c>
      <c r="H149" s="1" t="s">
        <v>260</v>
      </c>
      <c r="I149" s="1" t="s">
        <v>261</v>
      </c>
      <c r="J149" s="11">
        <v>3</v>
      </c>
      <c r="K149" s="6" t="s">
        <v>39</v>
      </c>
      <c r="L149" s="3" t="s">
        <v>18</v>
      </c>
      <c r="M149" s="4">
        <v>1</v>
      </c>
      <c r="N149" s="17" t="s">
        <v>247</v>
      </c>
    </row>
    <row r="150" spans="1:14">
      <c r="A150" s="1" t="s">
        <v>192</v>
      </c>
      <c r="B150" s="8">
        <v>46046</v>
      </c>
      <c r="C150" s="9">
        <v>0.375</v>
      </c>
      <c r="D150" s="9">
        <v>0.4375</v>
      </c>
      <c r="E150" s="10">
        <f t="shared" si="25"/>
        <v>6.25E-2</v>
      </c>
      <c r="F150" s="10">
        <v>0</v>
      </c>
      <c r="G150" s="1" t="s">
        <v>259</v>
      </c>
      <c r="H150" s="1" t="s">
        <v>262</v>
      </c>
      <c r="I150" s="1" t="s">
        <v>263</v>
      </c>
      <c r="J150" s="11">
        <v>3</v>
      </c>
      <c r="K150" s="6"/>
      <c r="L150" s="3" t="s">
        <v>18</v>
      </c>
      <c r="M150" s="4">
        <v>20</v>
      </c>
      <c r="N150" s="17" t="s">
        <v>29</v>
      </c>
    </row>
    <row r="151" spans="1:14">
      <c r="A151" s="1" t="s">
        <v>192</v>
      </c>
      <c r="B151" s="8">
        <v>46046</v>
      </c>
      <c r="C151" s="9">
        <v>0.375</v>
      </c>
      <c r="D151" s="9">
        <v>0.4375</v>
      </c>
      <c r="E151" s="10">
        <f t="shared" si="25"/>
        <v>6.25E-2</v>
      </c>
      <c r="F151" s="10">
        <v>0</v>
      </c>
      <c r="G151" s="1" t="s">
        <v>264</v>
      </c>
      <c r="H151" s="1" t="s">
        <v>262</v>
      </c>
      <c r="I151" s="1" t="s">
        <v>265</v>
      </c>
      <c r="J151" s="11">
        <v>3</v>
      </c>
      <c r="K151" s="6"/>
      <c r="L151" s="3" t="s">
        <v>18</v>
      </c>
      <c r="M151" s="4">
        <v>13</v>
      </c>
      <c r="N151" s="17" t="s">
        <v>129</v>
      </c>
    </row>
    <row r="152" spans="1:14" ht="30">
      <c r="A152" s="1" t="s">
        <v>192</v>
      </c>
      <c r="B152" s="8">
        <v>46046</v>
      </c>
      <c r="C152" s="9">
        <v>0.47916666666666669</v>
      </c>
      <c r="D152" s="9">
        <v>0.52083333333333337</v>
      </c>
      <c r="E152" s="10">
        <f t="shared" si="25"/>
        <v>4.1666666666666685E-2</v>
      </c>
      <c r="F152" s="10">
        <v>0</v>
      </c>
      <c r="G152" s="1" t="s">
        <v>266</v>
      </c>
      <c r="H152" s="1" t="s">
        <v>267</v>
      </c>
      <c r="I152" s="1" t="s">
        <v>237</v>
      </c>
      <c r="J152" s="11"/>
      <c r="K152" s="6"/>
      <c r="L152" s="3" t="s">
        <v>18</v>
      </c>
      <c r="M152" s="4">
        <v>18</v>
      </c>
      <c r="N152" s="17" t="s">
        <v>48</v>
      </c>
    </row>
    <row r="153" spans="1:14">
      <c r="A153" s="1" t="s">
        <v>14</v>
      </c>
      <c r="B153" s="8">
        <v>46048</v>
      </c>
      <c r="C153" s="9">
        <v>0.375</v>
      </c>
      <c r="D153" s="9">
        <v>0.42708333333333331</v>
      </c>
      <c r="E153" s="10">
        <f t="shared" si="25"/>
        <v>5.2083333333333315E-2</v>
      </c>
      <c r="F153" s="10">
        <v>0</v>
      </c>
      <c r="G153" s="1" t="s">
        <v>268</v>
      </c>
      <c r="H153" s="1" t="s">
        <v>269</v>
      </c>
      <c r="I153" s="1" t="s">
        <v>105</v>
      </c>
      <c r="J153" s="11">
        <v>1</v>
      </c>
      <c r="K153" s="6"/>
      <c r="L153" s="3" t="s">
        <v>270</v>
      </c>
      <c r="M153" s="4">
        <v>31</v>
      </c>
      <c r="N153" s="17" t="s">
        <v>48</v>
      </c>
    </row>
    <row r="154" spans="1:14">
      <c r="A154" s="1" t="s">
        <v>14</v>
      </c>
      <c r="B154" s="8">
        <v>46048</v>
      </c>
      <c r="C154" s="9">
        <v>0.375</v>
      </c>
      <c r="D154" s="9">
        <v>0.44097222222222221</v>
      </c>
      <c r="E154" s="10">
        <f t="shared" ref="E154" si="42">D154-C154</f>
        <v>6.597222222222221E-2</v>
      </c>
      <c r="F154" s="10">
        <v>0</v>
      </c>
      <c r="G154" s="1" t="s">
        <v>268</v>
      </c>
      <c r="H154" s="1" t="s">
        <v>269</v>
      </c>
      <c r="I154" s="1" t="s">
        <v>105</v>
      </c>
      <c r="J154" s="11">
        <v>1</v>
      </c>
      <c r="K154" s="6" t="s">
        <v>39</v>
      </c>
      <c r="L154" s="3" t="s">
        <v>270</v>
      </c>
      <c r="M154" s="4">
        <v>3</v>
      </c>
      <c r="N154" s="17" t="s">
        <v>79</v>
      </c>
    </row>
    <row r="155" spans="1:14" ht="30">
      <c r="A155" s="1" t="s">
        <v>14</v>
      </c>
      <c r="B155" s="8">
        <v>46048</v>
      </c>
      <c r="C155" s="9">
        <v>0.5625</v>
      </c>
      <c r="D155" s="9">
        <v>0.625</v>
      </c>
      <c r="E155" s="10">
        <f t="shared" si="25"/>
        <v>6.25E-2</v>
      </c>
      <c r="F155" s="10">
        <v>0</v>
      </c>
      <c r="G155" s="1" t="s">
        <v>271</v>
      </c>
      <c r="H155" s="1" t="s">
        <v>272</v>
      </c>
      <c r="I155" s="1" t="s">
        <v>273</v>
      </c>
      <c r="J155" s="11">
        <v>3</v>
      </c>
      <c r="K155" s="6"/>
      <c r="L155" s="3" t="s">
        <v>18</v>
      </c>
      <c r="M155" s="4">
        <v>49</v>
      </c>
      <c r="N155" s="17" t="s">
        <v>38</v>
      </c>
    </row>
    <row r="156" spans="1:14" ht="30">
      <c r="A156" s="1" t="s">
        <v>14</v>
      </c>
      <c r="B156" s="8">
        <v>46048</v>
      </c>
      <c r="C156" s="9">
        <v>0.5625</v>
      </c>
      <c r="D156" s="9">
        <v>0.64236111111111116</v>
      </c>
      <c r="E156" s="10">
        <f t="shared" ref="E156" si="43">D156-C156</f>
        <v>7.986111111111116E-2</v>
      </c>
      <c r="F156" s="10">
        <v>0</v>
      </c>
      <c r="G156" s="1" t="s">
        <v>271</v>
      </c>
      <c r="H156" s="1" t="s">
        <v>272</v>
      </c>
      <c r="I156" s="1" t="s">
        <v>273</v>
      </c>
      <c r="J156" s="11">
        <v>3</v>
      </c>
      <c r="K156" s="6" t="s">
        <v>39</v>
      </c>
      <c r="L156" s="3" t="s">
        <v>18</v>
      </c>
      <c r="M156" s="4">
        <v>2</v>
      </c>
      <c r="N156" s="17" t="s">
        <v>79</v>
      </c>
    </row>
    <row r="157" spans="1:14" ht="30">
      <c r="A157" s="1" t="s">
        <v>14</v>
      </c>
      <c r="B157" s="8">
        <v>46048</v>
      </c>
      <c r="C157" s="9">
        <v>0.5625</v>
      </c>
      <c r="D157" s="9">
        <v>0.625</v>
      </c>
      <c r="E157" s="10">
        <f t="shared" si="25"/>
        <v>6.25E-2</v>
      </c>
      <c r="F157" s="10">
        <v>0</v>
      </c>
      <c r="G157" s="1" t="s">
        <v>271</v>
      </c>
      <c r="H157" s="1" t="s">
        <v>272</v>
      </c>
      <c r="I157" s="1" t="s">
        <v>219</v>
      </c>
      <c r="J157" s="11">
        <v>3</v>
      </c>
      <c r="K157" s="6"/>
      <c r="L157" s="3" t="s">
        <v>18</v>
      </c>
      <c r="M157" s="4">
        <v>4</v>
      </c>
      <c r="N157" s="17" t="s">
        <v>274</v>
      </c>
    </row>
    <row r="158" spans="1:14" ht="30">
      <c r="A158" s="1" t="s">
        <v>14</v>
      </c>
      <c r="B158" s="8">
        <v>46048</v>
      </c>
      <c r="C158" s="9">
        <v>0.5625</v>
      </c>
      <c r="D158" s="9">
        <v>0.625</v>
      </c>
      <c r="E158" s="10">
        <f t="shared" si="25"/>
        <v>6.25E-2</v>
      </c>
      <c r="F158" s="10">
        <v>0</v>
      </c>
      <c r="G158" s="1" t="s">
        <v>275</v>
      </c>
      <c r="H158" s="1" t="s">
        <v>276</v>
      </c>
      <c r="I158" s="1" t="s">
        <v>277</v>
      </c>
      <c r="J158" s="11"/>
      <c r="K158" s="6" t="s">
        <v>278</v>
      </c>
      <c r="L158" s="3" t="s">
        <v>18</v>
      </c>
      <c r="M158" s="4">
        <v>2</v>
      </c>
      <c r="N158" s="17" t="s">
        <v>104</v>
      </c>
    </row>
    <row r="159" spans="1:14" ht="45">
      <c r="A159" s="1" t="s">
        <v>22</v>
      </c>
      <c r="B159" s="8">
        <v>46049</v>
      </c>
      <c r="C159" s="9">
        <v>0.33333333333333331</v>
      </c>
      <c r="D159" s="9">
        <v>0.75</v>
      </c>
      <c r="E159" s="10">
        <f>D159-C159</f>
        <v>0.41666666666666669</v>
      </c>
      <c r="F159" s="10">
        <v>0</v>
      </c>
      <c r="G159" s="1" t="s">
        <v>15</v>
      </c>
      <c r="H159" s="1" t="s">
        <v>20</v>
      </c>
      <c r="I159" s="1" t="s">
        <v>279</v>
      </c>
      <c r="J159" s="11">
        <v>7</v>
      </c>
      <c r="K159" s="6"/>
      <c r="L159" s="3" t="s">
        <v>280</v>
      </c>
      <c r="M159" s="4" t="s">
        <v>281</v>
      </c>
      <c r="N159" s="17" t="s">
        <v>177</v>
      </c>
    </row>
    <row r="160" spans="1:14" ht="30">
      <c r="A160" s="1" t="s">
        <v>22</v>
      </c>
      <c r="B160" s="8">
        <v>46049</v>
      </c>
      <c r="C160" s="9">
        <v>0.35416666666666669</v>
      </c>
      <c r="D160" s="9">
        <v>0.39583333333333331</v>
      </c>
      <c r="E160" s="10">
        <f t="shared" si="25"/>
        <v>4.166666666666663E-2</v>
      </c>
      <c r="F160" s="10">
        <v>0</v>
      </c>
      <c r="G160" s="1" t="s">
        <v>282</v>
      </c>
      <c r="H160" s="1" t="s">
        <v>283</v>
      </c>
      <c r="I160" s="1" t="s">
        <v>205</v>
      </c>
      <c r="J160" s="11">
        <v>3</v>
      </c>
      <c r="K160" s="6"/>
      <c r="L160" s="3" t="s">
        <v>18</v>
      </c>
      <c r="M160" s="4">
        <v>117</v>
      </c>
      <c r="N160" s="17" t="s">
        <v>284</v>
      </c>
    </row>
    <row r="161" spans="1:14">
      <c r="A161" s="1" t="s">
        <v>22</v>
      </c>
      <c r="B161" s="8">
        <v>46049</v>
      </c>
      <c r="C161" s="9">
        <v>0.35416666666666669</v>
      </c>
      <c r="D161" s="9">
        <v>0.40625</v>
      </c>
      <c r="E161" s="10">
        <f t="shared" ref="E161:E162" si="44">D161-C161</f>
        <v>5.2083333333333315E-2</v>
      </c>
      <c r="F161" s="10">
        <v>0</v>
      </c>
      <c r="G161" s="1" t="s">
        <v>282</v>
      </c>
      <c r="H161" s="1" t="s">
        <v>283</v>
      </c>
      <c r="I161" s="1" t="s">
        <v>205</v>
      </c>
      <c r="J161" s="11">
        <v>3</v>
      </c>
      <c r="K161" s="6" t="s">
        <v>39</v>
      </c>
      <c r="L161" s="3" t="s">
        <v>18</v>
      </c>
      <c r="M161" s="4">
        <v>5</v>
      </c>
      <c r="N161" s="17" t="s">
        <v>75</v>
      </c>
    </row>
    <row r="162" spans="1:14">
      <c r="A162" s="1" t="s">
        <v>22</v>
      </c>
      <c r="B162" s="8">
        <v>46049</v>
      </c>
      <c r="C162" s="9">
        <v>0.35416666666666669</v>
      </c>
      <c r="D162" s="9">
        <v>0.40972222222222221</v>
      </c>
      <c r="E162" s="10">
        <f t="shared" si="44"/>
        <v>5.5555555555555525E-2</v>
      </c>
      <c r="F162" s="10">
        <v>0</v>
      </c>
      <c r="G162" s="1" t="s">
        <v>282</v>
      </c>
      <c r="H162" s="1" t="s">
        <v>283</v>
      </c>
      <c r="I162" s="1" t="s">
        <v>205</v>
      </c>
      <c r="J162" s="11">
        <v>3</v>
      </c>
      <c r="K162" s="6" t="s">
        <v>39</v>
      </c>
      <c r="L162" s="3" t="s">
        <v>18</v>
      </c>
      <c r="M162" s="4">
        <v>1</v>
      </c>
      <c r="N162" s="17" t="s">
        <v>247</v>
      </c>
    </row>
    <row r="163" spans="1:14" ht="30">
      <c r="A163" s="1" t="s">
        <v>22</v>
      </c>
      <c r="B163" s="8">
        <v>46049</v>
      </c>
      <c r="C163" s="9">
        <v>0.39583333333333331</v>
      </c>
      <c r="D163" s="9">
        <v>0.45833333333333331</v>
      </c>
      <c r="E163" s="10">
        <f>D163-C163</f>
        <v>6.25E-2</v>
      </c>
      <c r="F163" s="10">
        <v>0</v>
      </c>
      <c r="G163" s="1" t="s">
        <v>285</v>
      </c>
      <c r="H163" s="1" t="s">
        <v>286</v>
      </c>
      <c r="I163" s="1" t="s">
        <v>287</v>
      </c>
      <c r="J163" s="11"/>
      <c r="K163" s="6"/>
      <c r="L163" s="3" t="s">
        <v>33</v>
      </c>
      <c r="M163" s="4">
        <v>6</v>
      </c>
      <c r="N163" s="17" t="s">
        <v>157</v>
      </c>
    </row>
    <row r="164" spans="1:14">
      <c r="A164" s="1" t="s">
        <v>22</v>
      </c>
      <c r="B164" s="8">
        <v>46049</v>
      </c>
      <c r="C164" s="9">
        <v>0.41666666666666669</v>
      </c>
      <c r="D164" s="9">
        <v>0.46875</v>
      </c>
      <c r="E164" s="10">
        <f>D164-C164</f>
        <v>5.2083333333333315E-2</v>
      </c>
      <c r="F164" s="10">
        <v>0</v>
      </c>
      <c r="G164" s="1" t="s">
        <v>288</v>
      </c>
      <c r="H164" s="1" t="s">
        <v>269</v>
      </c>
      <c r="I164" s="1" t="s">
        <v>289</v>
      </c>
      <c r="J164" s="11">
        <v>3</v>
      </c>
      <c r="K164" s="6"/>
      <c r="L164" s="3" t="s">
        <v>270</v>
      </c>
      <c r="M164" s="4">
        <v>29</v>
      </c>
      <c r="N164" s="17" t="s">
        <v>151</v>
      </c>
    </row>
    <row r="165" spans="1:14">
      <c r="A165" s="1" t="s">
        <v>22</v>
      </c>
      <c r="B165" s="8">
        <v>46049</v>
      </c>
      <c r="C165" s="9">
        <v>0.54166666666666663</v>
      </c>
      <c r="D165" s="9">
        <v>0.625</v>
      </c>
      <c r="E165" s="10">
        <f t="shared" si="25"/>
        <v>8.333333333333337E-2</v>
      </c>
      <c r="F165" s="10">
        <v>0</v>
      </c>
      <c r="G165" s="1" t="s">
        <v>290</v>
      </c>
      <c r="H165" s="1" t="s">
        <v>103</v>
      </c>
      <c r="I165" s="1" t="s">
        <v>78</v>
      </c>
      <c r="J165" s="11"/>
      <c r="K165" s="6"/>
      <c r="L165" s="3" t="s">
        <v>18</v>
      </c>
      <c r="M165" s="4">
        <v>20</v>
      </c>
      <c r="N165" s="17" t="s">
        <v>48</v>
      </c>
    </row>
    <row r="166" spans="1:14" ht="30">
      <c r="A166" s="18" t="s">
        <v>22</v>
      </c>
      <c r="B166" s="19">
        <v>46049</v>
      </c>
      <c r="C166" s="20">
        <v>0.5625</v>
      </c>
      <c r="D166" s="20">
        <v>0.60416666666666663</v>
      </c>
      <c r="E166" s="10">
        <v>4.1666666666666664E-2</v>
      </c>
      <c r="F166" s="21"/>
      <c r="G166" s="18" t="s">
        <v>291</v>
      </c>
      <c r="H166" s="18" t="s">
        <v>292</v>
      </c>
      <c r="I166" s="11" t="s">
        <v>293</v>
      </c>
      <c r="J166" s="28">
        <v>1</v>
      </c>
      <c r="K166" s="29" t="s">
        <v>294</v>
      </c>
      <c r="L166" s="29" t="s">
        <v>295</v>
      </c>
      <c r="M166" s="30">
        <v>94</v>
      </c>
      <c r="N166" s="23" t="s">
        <v>61</v>
      </c>
    </row>
    <row r="167" spans="1:14">
      <c r="A167" s="1" t="s">
        <v>19</v>
      </c>
      <c r="B167" s="8">
        <v>46050</v>
      </c>
      <c r="C167" s="9">
        <v>0.35416666666666669</v>
      </c>
      <c r="D167" s="9">
        <v>0.39583333333333331</v>
      </c>
      <c r="E167" s="10">
        <f t="shared" si="25"/>
        <v>4.166666666666663E-2</v>
      </c>
      <c r="F167" s="10">
        <v>0</v>
      </c>
      <c r="G167" s="1" t="s">
        <v>296</v>
      </c>
      <c r="H167" s="1" t="s">
        <v>297</v>
      </c>
      <c r="I167" s="1" t="s">
        <v>298</v>
      </c>
      <c r="J167" s="11">
        <v>5</v>
      </c>
      <c r="K167" s="6"/>
      <c r="L167" s="3" t="s">
        <v>18</v>
      </c>
      <c r="M167" s="4">
        <v>77</v>
      </c>
      <c r="N167" s="17" t="s">
        <v>61</v>
      </c>
    </row>
    <row r="168" spans="1:14">
      <c r="A168" s="1" t="s">
        <v>19</v>
      </c>
      <c r="B168" s="8">
        <v>46050</v>
      </c>
      <c r="C168" s="9">
        <v>0.35416666666666669</v>
      </c>
      <c r="D168" s="9">
        <v>0.40625</v>
      </c>
      <c r="E168" s="10">
        <f t="shared" ref="E168" si="45">D168-C168</f>
        <v>5.2083333333333315E-2</v>
      </c>
      <c r="F168" s="10">
        <v>0</v>
      </c>
      <c r="G168" s="1" t="s">
        <v>296</v>
      </c>
      <c r="H168" s="1" t="s">
        <v>297</v>
      </c>
      <c r="I168" s="1" t="s">
        <v>298</v>
      </c>
      <c r="J168" s="11">
        <v>5</v>
      </c>
      <c r="K168" s="6" t="s">
        <v>39</v>
      </c>
      <c r="L168" s="3" t="s">
        <v>18</v>
      </c>
      <c r="M168" s="4">
        <v>4</v>
      </c>
      <c r="N168" s="17" t="s">
        <v>75</v>
      </c>
    </row>
    <row r="169" spans="1:14">
      <c r="A169" s="1" t="s">
        <v>19</v>
      </c>
      <c r="B169" s="8">
        <v>46050</v>
      </c>
      <c r="C169" s="9">
        <v>0.4375</v>
      </c>
      <c r="D169" s="9">
        <v>0.5</v>
      </c>
      <c r="E169" s="10">
        <f t="shared" si="25"/>
        <v>6.25E-2</v>
      </c>
      <c r="F169" s="10">
        <v>0</v>
      </c>
      <c r="G169" s="1" t="s">
        <v>299</v>
      </c>
      <c r="H169" s="1" t="s">
        <v>171</v>
      </c>
      <c r="I169" s="1" t="s">
        <v>237</v>
      </c>
      <c r="J169" s="11"/>
      <c r="K169" s="6"/>
      <c r="L169" s="3" t="s">
        <v>18</v>
      </c>
      <c r="M169" s="4">
        <v>1</v>
      </c>
      <c r="N169" s="17" t="s">
        <v>125</v>
      </c>
    </row>
    <row r="170" spans="1:14" ht="30">
      <c r="A170" s="1" t="s">
        <v>51</v>
      </c>
      <c r="B170" s="8">
        <v>46051</v>
      </c>
      <c r="C170" s="9">
        <v>0.375</v>
      </c>
      <c r="D170" s="9">
        <v>0.45833333333333331</v>
      </c>
      <c r="E170" s="10">
        <f t="shared" si="25"/>
        <v>8.3333333333333315E-2</v>
      </c>
      <c r="F170" s="10">
        <v>0</v>
      </c>
      <c r="G170" s="1" t="s">
        <v>300</v>
      </c>
      <c r="H170" s="1" t="s">
        <v>301</v>
      </c>
      <c r="I170" s="1" t="s">
        <v>302</v>
      </c>
      <c r="J170" s="11"/>
      <c r="K170" s="6"/>
      <c r="L170" s="3" t="s">
        <v>33</v>
      </c>
      <c r="M170" s="4">
        <v>1</v>
      </c>
      <c r="N170" s="17" t="s">
        <v>75</v>
      </c>
    </row>
    <row r="171" spans="1:14" ht="30">
      <c r="A171" s="1" t="s">
        <v>51</v>
      </c>
      <c r="B171" s="8">
        <v>46051</v>
      </c>
      <c r="C171" s="9">
        <v>0.39583333333333331</v>
      </c>
      <c r="D171" s="9">
        <v>0.45833333333333331</v>
      </c>
      <c r="E171" s="10">
        <f>D171-C171</f>
        <v>6.25E-2</v>
      </c>
      <c r="F171" s="10">
        <v>0</v>
      </c>
      <c r="G171" s="1" t="s">
        <v>303</v>
      </c>
      <c r="H171" s="1" t="s">
        <v>304</v>
      </c>
      <c r="I171" s="1" t="s">
        <v>305</v>
      </c>
      <c r="J171" s="11">
        <v>2</v>
      </c>
      <c r="K171" s="6"/>
      <c r="L171" s="3" t="s">
        <v>18</v>
      </c>
      <c r="M171" s="4">
        <v>17</v>
      </c>
      <c r="N171" s="17" t="s">
        <v>40</v>
      </c>
    </row>
    <row r="172" spans="1:14">
      <c r="A172" s="1" t="s">
        <v>51</v>
      </c>
      <c r="B172" s="8">
        <v>46051</v>
      </c>
      <c r="C172" s="9">
        <v>0.54166666666666663</v>
      </c>
      <c r="D172" s="9">
        <v>0.58333333333333337</v>
      </c>
      <c r="E172" s="10">
        <f t="shared" si="25"/>
        <v>4.1666666666666741E-2</v>
      </c>
      <c r="F172" s="10">
        <v>0</v>
      </c>
      <c r="G172" s="1" t="s">
        <v>306</v>
      </c>
      <c r="H172" s="1" t="s">
        <v>60</v>
      </c>
      <c r="I172" s="1" t="s">
        <v>83</v>
      </c>
      <c r="J172" s="11"/>
      <c r="K172" s="6"/>
      <c r="L172" s="3" t="s">
        <v>18</v>
      </c>
      <c r="M172" s="4">
        <v>20</v>
      </c>
      <c r="N172" s="17" t="s">
        <v>48</v>
      </c>
    </row>
    <row r="173" spans="1:14">
      <c r="A173" s="1" t="s">
        <v>51</v>
      </c>
      <c r="B173" s="8">
        <v>46051</v>
      </c>
      <c r="C173" s="9">
        <v>0.54166666666666663</v>
      </c>
      <c r="D173" s="9">
        <v>0.59375</v>
      </c>
      <c r="E173" s="10">
        <f t="shared" ref="E173" si="46">D173-C173</f>
        <v>5.208333333333337E-2</v>
      </c>
      <c r="F173" s="10">
        <v>0</v>
      </c>
      <c r="G173" s="1" t="s">
        <v>306</v>
      </c>
      <c r="H173" s="1" t="s">
        <v>60</v>
      </c>
      <c r="I173" s="1" t="s">
        <v>83</v>
      </c>
      <c r="J173" s="11"/>
      <c r="K173" s="6" t="s">
        <v>39</v>
      </c>
      <c r="L173" s="3" t="s">
        <v>18</v>
      </c>
      <c r="M173" s="4">
        <v>2</v>
      </c>
      <c r="N173" s="17" t="s">
        <v>75</v>
      </c>
    </row>
    <row r="174" spans="1:14" ht="30">
      <c r="A174" s="1" t="s">
        <v>166</v>
      </c>
      <c r="B174" s="8">
        <v>46052</v>
      </c>
      <c r="C174" s="9">
        <v>0.375</v>
      </c>
      <c r="D174" s="9">
        <v>0.45833333333333331</v>
      </c>
      <c r="E174" s="10">
        <f t="shared" si="25"/>
        <v>8.3333333333333315E-2</v>
      </c>
      <c r="F174" s="10">
        <v>0</v>
      </c>
      <c r="G174" s="1" t="s">
        <v>307</v>
      </c>
      <c r="H174" s="1" t="s">
        <v>301</v>
      </c>
      <c r="I174" s="1" t="s">
        <v>308</v>
      </c>
      <c r="J174" s="11">
        <v>2</v>
      </c>
      <c r="K174" s="6"/>
      <c r="L174" s="3" t="s">
        <v>33</v>
      </c>
      <c r="M174" s="4">
        <v>28</v>
      </c>
      <c r="N174" s="17" t="s">
        <v>48</v>
      </c>
    </row>
    <row r="175" spans="1:14" ht="45">
      <c r="A175" s="35" t="s">
        <v>166</v>
      </c>
      <c r="B175" s="36">
        <v>46052</v>
      </c>
      <c r="C175" s="37">
        <v>0.48958333333333331</v>
      </c>
      <c r="D175" s="37">
        <v>0.55208333333333337</v>
      </c>
      <c r="E175" s="10">
        <f t="shared" si="25"/>
        <v>6.2500000000000056E-2</v>
      </c>
      <c r="F175" s="38">
        <v>0</v>
      </c>
      <c r="G175" s="35" t="s">
        <v>309</v>
      </c>
      <c r="H175" s="35" t="s">
        <v>310</v>
      </c>
      <c r="I175" s="1" t="s">
        <v>142</v>
      </c>
      <c r="J175" s="39"/>
      <c r="K175" s="40"/>
      <c r="L175" s="40" t="s">
        <v>18</v>
      </c>
      <c r="M175" s="41">
        <v>2</v>
      </c>
      <c r="N175" s="17" t="s">
        <v>104</v>
      </c>
    </row>
    <row r="176" spans="1:14" ht="45">
      <c r="A176" s="1" t="s">
        <v>166</v>
      </c>
      <c r="B176" s="8">
        <v>46052</v>
      </c>
      <c r="C176" s="9">
        <v>0.48958333333333331</v>
      </c>
      <c r="D176" s="9">
        <v>0.55208333333333337</v>
      </c>
      <c r="E176" s="10">
        <f t="shared" si="25"/>
        <v>6.2500000000000056E-2</v>
      </c>
      <c r="F176" s="10">
        <v>0</v>
      </c>
      <c r="G176" s="1" t="s">
        <v>311</v>
      </c>
      <c r="H176" s="1" t="s">
        <v>146</v>
      </c>
      <c r="I176" s="1" t="s">
        <v>142</v>
      </c>
      <c r="J176" s="11"/>
      <c r="K176" s="6"/>
      <c r="L176" s="3" t="s">
        <v>18</v>
      </c>
      <c r="M176" s="4">
        <v>1</v>
      </c>
      <c r="N176" s="17" t="s">
        <v>104</v>
      </c>
    </row>
    <row r="177" spans="1:14" ht="30">
      <c r="A177" s="1" t="s">
        <v>166</v>
      </c>
      <c r="B177" s="8">
        <v>46052</v>
      </c>
      <c r="C177" s="9">
        <v>0.58333333333333337</v>
      </c>
      <c r="D177" s="9">
        <v>0.61458333333333337</v>
      </c>
      <c r="E177" s="10">
        <f t="shared" si="25"/>
        <v>3.125E-2</v>
      </c>
      <c r="F177" s="10">
        <v>0</v>
      </c>
      <c r="G177" s="1" t="s">
        <v>312</v>
      </c>
      <c r="H177" s="1" t="s">
        <v>144</v>
      </c>
      <c r="I177" s="1"/>
      <c r="J177" s="11"/>
      <c r="K177" s="6"/>
      <c r="L177" s="3" t="s">
        <v>18</v>
      </c>
      <c r="M177" s="4">
        <v>1</v>
      </c>
      <c r="N177" s="17" t="s">
        <v>274</v>
      </c>
    </row>
    <row r="178" spans="1:14" ht="30">
      <c r="A178" s="1" t="s">
        <v>166</v>
      </c>
      <c r="B178" s="8">
        <v>46052</v>
      </c>
      <c r="C178" s="9">
        <v>0.58333333333333337</v>
      </c>
      <c r="D178" s="9">
        <v>0.64583333333333337</v>
      </c>
      <c r="E178" s="10">
        <f t="shared" ref="E178" si="47">D178-C178</f>
        <v>6.25E-2</v>
      </c>
      <c r="F178" s="10">
        <v>0</v>
      </c>
      <c r="G178" s="1" t="s">
        <v>313</v>
      </c>
      <c r="H178" s="1" t="s">
        <v>314</v>
      </c>
      <c r="I178" s="1"/>
      <c r="J178" s="11"/>
      <c r="K178" s="6"/>
      <c r="L178" s="3" t="s">
        <v>18</v>
      </c>
      <c r="M178" s="4">
        <v>2</v>
      </c>
      <c r="N178" s="17" t="s">
        <v>104</v>
      </c>
    </row>
  </sheetData>
  <autoFilter ref="A1:N179" xr:uid="{F04541E2-8F03-4200-A015-DBFDB9A7FB7A}"/>
  <sortState xmlns:xlrd2="http://schemas.microsoft.com/office/spreadsheetml/2017/richdata2" ref="A4:N178">
    <sortCondition ref="B4:B178"/>
    <sortCondition ref="C4:C178"/>
    <sortCondition ref="D4:D178"/>
  </sortState>
  <mergeCells count="2">
    <mergeCell ref="N24:N25"/>
    <mergeCell ref="C24:F25"/>
  </mergeCells>
  <phoneticPr fontId="2" type="noConversion"/>
  <conditionalFormatting sqref="A25:B25 G25:M25 A47:M49 A28:N46 A56:M57 A62:M123">
    <cfRule type="expression" dxfId="506" priority="58">
      <formula>$A25="Fr"</formula>
    </cfRule>
  </conditionalFormatting>
  <conditionalFormatting sqref="A25:B25 G25:M25 A47:M49">
    <cfRule type="expression" dxfId="505" priority="57">
      <formula>$A25="Sa"</formula>
    </cfRule>
  </conditionalFormatting>
  <conditionalFormatting sqref="A25:B25 G25:M25 A28:N46 A47:M49 A56:M57 A62:M123">
    <cfRule type="expression" dxfId="504" priority="59">
      <formula>$A25="Do"</formula>
    </cfRule>
    <cfRule type="expression" dxfId="503" priority="60">
      <formula>$A25="Mi"</formula>
    </cfRule>
    <cfRule type="expression" dxfId="502" priority="61">
      <formula>$A25="Mo"</formula>
    </cfRule>
    <cfRule type="expression" dxfId="501" priority="62">
      <formula>$A25="Di"</formula>
    </cfRule>
  </conditionalFormatting>
  <conditionalFormatting sqref="A24:C24 N84:N123 A23:N23 A26:N27 A58:M61 G24:N24 L165:M165">
    <cfRule type="expression" dxfId="500" priority="394">
      <formula>$A23="Fr"</formula>
    </cfRule>
  </conditionalFormatting>
  <conditionalFormatting sqref="A132:G132">
    <cfRule type="expression" dxfId="499" priority="2489">
      <formula>$A123="Sa"</formula>
    </cfRule>
    <cfRule type="expression" dxfId="498" priority="2490">
      <formula>$A123="Fr"</formula>
    </cfRule>
    <cfRule type="expression" dxfId="497" priority="2491">
      <formula>$A123="Do"</formula>
    </cfRule>
    <cfRule type="expression" dxfId="496" priority="2492">
      <formula>$A123="Mi"</formula>
    </cfRule>
    <cfRule type="expression" dxfId="495" priority="2493">
      <formula>$A123="Mo"</formula>
    </cfRule>
    <cfRule type="expression" dxfId="494" priority="2494">
      <formula>$A123="Di"</formula>
    </cfRule>
  </conditionalFormatting>
  <conditionalFormatting sqref="A133:G134">
    <cfRule type="expression" dxfId="493" priority="2668">
      <formula>#REF!="Fr"</formula>
    </cfRule>
    <cfRule type="expression" dxfId="492" priority="2669">
      <formula>#REF!="Do"</formula>
    </cfRule>
    <cfRule type="expression" dxfId="491" priority="2670">
      <formula>#REF!="Mi"</formula>
    </cfRule>
    <cfRule type="expression" dxfId="490" priority="2671">
      <formula>#REF!="Mo"</formula>
    </cfRule>
    <cfRule type="expression" dxfId="489" priority="2672">
      <formula>#REF!="Di"</formula>
    </cfRule>
    <cfRule type="expression" dxfId="488" priority="2923">
      <formula>#REF!="Sa"</formula>
    </cfRule>
  </conditionalFormatting>
  <conditionalFormatting sqref="A135:G136">
    <cfRule type="expression" dxfId="487" priority="2625">
      <formula>$A132="Fr"</formula>
    </cfRule>
    <cfRule type="expression" dxfId="486" priority="2626">
      <formula>$A132="Do"</formula>
    </cfRule>
    <cfRule type="expression" dxfId="485" priority="2627">
      <formula>$A132="Mi"</formula>
    </cfRule>
    <cfRule type="expression" dxfId="484" priority="2628">
      <formula>$A132="Mo"</formula>
    </cfRule>
    <cfRule type="expression" dxfId="483" priority="2629">
      <formula>$A132="Di"</formula>
    </cfRule>
    <cfRule type="expression" dxfId="482" priority="2630">
      <formula>$A132="Sa"</formula>
    </cfRule>
  </conditionalFormatting>
  <conditionalFormatting sqref="A164:K165 A24:C24 N84:N123">
    <cfRule type="expression" dxfId="481" priority="393">
      <formula>$A24="Sa"</formula>
    </cfRule>
  </conditionalFormatting>
  <conditionalFormatting sqref="A21:L22 A2:N20 A124:N163 A166:N178 A50:N55 L164:N164 A164:K165">
    <cfRule type="expression" dxfId="480" priority="142">
      <formula>$A2="Fr"</formula>
    </cfRule>
  </conditionalFormatting>
  <conditionalFormatting sqref="A21:L22">
    <cfRule type="expression" dxfId="479" priority="141">
      <formula>$A21="Sa"</formula>
    </cfRule>
  </conditionalFormatting>
  <conditionalFormatting sqref="A2:N20 A21:L22 A50:N55 A124:N163 L164:N164 A164:K165 A166:N178">
    <cfRule type="expression" dxfId="478" priority="143">
      <formula>$A2="Do"</formula>
    </cfRule>
    <cfRule type="expression" dxfId="477" priority="144">
      <formula>$A2="Mi"</formula>
    </cfRule>
    <cfRule type="expression" dxfId="476" priority="145">
      <formula>$A2="Mo"</formula>
    </cfRule>
    <cfRule type="expression" dxfId="475" priority="146">
      <formula>$A2="Di"</formula>
    </cfRule>
  </conditionalFormatting>
  <conditionalFormatting sqref="A2:N20 A23:N23 G24:N24 A26:N46 A50:N55 A56:M123 A124:N163 L164:N164 L165:M165 A166:N178">
    <cfRule type="expression" dxfId="474" priority="1">
      <formula>$A2="Sa"</formula>
    </cfRule>
  </conditionalFormatting>
  <conditionalFormatting sqref="A23:N23 A24:C24 G24:N24 A26:N27 A58:M61 N84:N123 L165:M165">
    <cfRule type="expression" dxfId="473" priority="395">
      <formula>$A23="Do"</formula>
    </cfRule>
    <cfRule type="expression" dxfId="472" priority="396">
      <formula>$A23="Mi"</formula>
    </cfRule>
    <cfRule type="expression" dxfId="471" priority="397">
      <formula>$A23="Mo"</formula>
    </cfRule>
    <cfRule type="expression" dxfId="470" priority="398">
      <formula>$A23="Di"</formula>
    </cfRule>
  </conditionalFormatting>
  <conditionalFormatting sqref="G2 G9:G66 G69:G139 G148:G165 G167:G174 G176:G178">
    <cfRule type="expression" dxfId="469" priority="904">
      <formula>#REF!="Fr"</formula>
    </cfRule>
    <cfRule type="expression" dxfId="468" priority="905">
      <formula>#REF!="Do"</formula>
    </cfRule>
    <cfRule type="expression" dxfId="467" priority="906">
      <formula>#REF!="Mi"</formula>
    </cfRule>
    <cfRule type="expression" dxfId="466" priority="907">
      <formula>#REF!="Mo"</formula>
    </cfRule>
    <cfRule type="expression" dxfId="465" priority="908">
      <formula>#REF!="Di"</formula>
    </cfRule>
  </conditionalFormatting>
  <conditionalFormatting sqref="G2">
    <cfRule type="expression" dxfId="464" priority="2947">
      <formula>$A107="Sa"</formula>
    </cfRule>
    <cfRule type="expression" dxfId="463" priority="2948">
      <formula>$A107="Fr"</formula>
    </cfRule>
    <cfRule type="expression" dxfId="462" priority="2949">
      <formula>$A107="Do"</formula>
    </cfRule>
    <cfRule type="expression" dxfId="461" priority="2950">
      <formula>$A107="Mi"</formula>
    </cfRule>
    <cfRule type="expression" dxfId="460" priority="2951">
      <formula>$A107="Mo"</formula>
    </cfRule>
    <cfRule type="expression" dxfId="459" priority="2952">
      <formula>$A107="Di"</formula>
    </cfRule>
    <cfRule type="expression" dxfId="458" priority="2953">
      <formula>$A158="Sa"</formula>
    </cfRule>
    <cfRule type="expression" dxfId="457" priority="2954">
      <formula>$A158="Fr"</formula>
    </cfRule>
    <cfRule type="expression" dxfId="456" priority="2955">
      <formula>$A158="Do"</formula>
    </cfRule>
    <cfRule type="expression" dxfId="455" priority="2956">
      <formula>$A158="Mi"</formula>
    </cfRule>
    <cfRule type="expression" dxfId="454" priority="2957">
      <formula>$A158="Mo"</formula>
    </cfRule>
    <cfRule type="expression" dxfId="453" priority="2958">
      <formula>$A158="Di"</formula>
    </cfRule>
  </conditionalFormatting>
  <conditionalFormatting sqref="G3 G163">
    <cfRule type="expression" dxfId="452" priority="1528">
      <formula>#REF!="Fr"</formula>
    </cfRule>
    <cfRule type="expression" dxfId="451" priority="1529">
      <formula>#REF!="Do"</formula>
    </cfRule>
    <cfRule type="expression" dxfId="450" priority="1530">
      <formula>#REF!="Mi"</formula>
    </cfRule>
    <cfRule type="expression" dxfId="449" priority="1531">
      <formula>#REF!="Mo"</formula>
    </cfRule>
    <cfRule type="expression" dxfId="448" priority="1532">
      <formula>#REF!="Di"</formula>
    </cfRule>
  </conditionalFormatting>
  <conditionalFormatting sqref="G3:G8">
    <cfRule type="expression" dxfId="447" priority="915">
      <formula>#REF!="Sa"</formula>
    </cfRule>
    <cfRule type="expression" dxfId="446" priority="916">
      <formula>#REF!="Fr"</formula>
    </cfRule>
    <cfRule type="expression" dxfId="445" priority="917">
      <formula>#REF!="Do"</formula>
    </cfRule>
    <cfRule type="expression" dxfId="444" priority="918">
      <formula>#REF!="Mi"</formula>
    </cfRule>
    <cfRule type="expression" dxfId="443" priority="919">
      <formula>#REF!="Mo"</formula>
    </cfRule>
    <cfRule type="expression" dxfId="442" priority="920">
      <formula>#REF!="Di"</formula>
    </cfRule>
  </conditionalFormatting>
  <conditionalFormatting sqref="G4:G6">
    <cfRule type="expression" dxfId="441" priority="909">
      <formula>#REF!="Sa"</formula>
    </cfRule>
    <cfRule type="expression" dxfId="440" priority="910">
      <formula>#REF!="Fr"</formula>
    </cfRule>
    <cfRule type="expression" dxfId="439" priority="911">
      <formula>#REF!="Do"</formula>
    </cfRule>
    <cfRule type="expression" dxfId="438" priority="912">
      <formula>#REF!="Mi"</formula>
    </cfRule>
    <cfRule type="expression" dxfId="437" priority="913">
      <formula>#REF!="Mo"</formula>
    </cfRule>
    <cfRule type="expression" dxfId="436" priority="914">
      <formula>#REF!="Di"</formula>
    </cfRule>
  </conditionalFormatting>
  <conditionalFormatting sqref="G7">
    <cfRule type="expression" dxfId="435" priority="3352">
      <formula>$A6="Fr"</formula>
    </cfRule>
    <cfRule type="expression" dxfId="434" priority="3353">
      <formula>$A6="Do"</formula>
    </cfRule>
    <cfRule type="expression" dxfId="433" priority="3354">
      <formula>$A6="Mi"</formula>
    </cfRule>
    <cfRule type="expression" dxfId="432" priority="3355">
      <formula>$A6="Mo"</formula>
    </cfRule>
    <cfRule type="expression" dxfId="431" priority="3356">
      <formula>$A6="Di"</formula>
    </cfRule>
    <cfRule type="expression" dxfId="430" priority="3362">
      <formula>$A6="Sa"</formula>
    </cfRule>
  </conditionalFormatting>
  <conditionalFormatting sqref="G8:G9">
    <cfRule type="expression" dxfId="429" priority="3357">
      <formula>#REF!="Fr"</formula>
    </cfRule>
    <cfRule type="expression" dxfId="428" priority="3358">
      <formula>#REF!="Do"</formula>
    </cfRule>
    <cfRule type="expression" dxfId="427" priority="3359">
      <formula>#REF!="Mi"</formula>
    </cfRule>
    <cfRule type="expression" dxfId="426" priority="3360">
      <formula>#REF!="Mo"</formula>
    </cfRule>
    <cfRule type="expression" dxfId="425" priority="3361">
      <formula>#REF!="Di"</formula>
    </cfRule>
    <cfRule type="expression" dxfId="424" priority="3363">
      <formula>#REF!="Sa"</formula>
    </cfRule>
  </conditionalFormatting>
  <conditionalFormatting sqref="G9:G66 G69:G139 G167:G174 G176:G178 G2 G148:G165">
    <cfRule type="expression" dxfId="423" priority="903">
      <formula>#REF!="Sa"</formula>
    </cfRule>
  </conditionalFormatting>
  <conditionalFormatting sqref="G10 G118 G152">
    <cfRule type="expression" dxfId="422" priority="1257">
      <formula>$A9="Sa"</formula>
    </cfRule>
    <cfRule type="expression" dxfId="421" priority="1258">
      <formula>$A9="Fr"</formula>
    </cfRule>
    <cfRule type="expression" dxfId="420" priority="1259">
      <formula>$A9="Do"</formula>
    </cfRule>
    <cfRule type="expression" dxfId="419" priority="1260">
      <formula>$A9="Mi"</formula>
    </cfRule>
    <cfRule type="expression" dxfId="418" priority="1261">
      <formula>$A9="Mo"</formula>
    </cfRule>
    <cfRule type="expression" dxfId="417" priority="1262">
      <formula>$A9="Di"</formula>
    </cfRule>
  </conditionalFormatting>
  <conditionalFormatting sqref="G11">
    <cfRule type="expression" dxfId="416" priority="1431">
      <formula>#REF!="Sa"</formula>
    </cfRule>
    <cfRule type="expression" dxfId="415" priority="1432">
      <formula>#REF!="Fr"</formula>
    </cfRule>
    <cfRule type="expression" dxfId="414" priority="1433">
      <formula>#REF!="Do"</formula>
    </cfRule>
    <cfRule type="expression" dxfId="413" priority="1434">
      <formula>#REF!="Mi"</formula>
    </cfRule>
    <cfRule type="expression" dxfId="412" priority="1435">
      <formula>#REF!="Mo"</formula>
    </cfRule>
    <cfRule type="expression" dxfId="411" priority="1436">
      <formula>#REF!="Di"</formula>
    </cfRule>
  </conditionalFormatting>
  <conditionalFormatting sqref="G12:G14 G31 G35:G36 G39 G46:G49 G52 G55 G60 G69:G71 G86:G87 G101:G105 G108 G120:G121 A137:G137 G171 G178">
    <cfRule type="expression" dxfId="410" priority="898">
      <formula>$A10="Fr"</formula>
    </cfRule>
    <cfRule type="expression" dxfId="409" priority="899">
      <formula>$A10="Do"</formula>
    </cfRule>
    <cfRule type="expression" dxfId="408" priority="900">
      <formula>$A10="Mi"</formula>
    </cfRule>
    <cfRule type="expression" dxfId="407" priority="901">
      <formula>$A10="Mo"</formula>
    </cfRule>
    <cfRule type="expression" dxfId="406" priority="902">
      <formula>$A10="Di"</formula>
    </cfRule>
  </conditionalFormatting>
  <conditionalFormatting sqref="G15:G18">
    <cfRule type="expression" dxfId="405" priority="1269">
      <formula>#REF!="Sa"</formula>
    </cfRule>
    <cfRule type="expression" dxfId="404" priority="1270">
      <formula>#REF!="Fr"</formula>
    </cfRule>
    <cfRule type="expression" dxfId="403" priority="1271">
      <formula>#REF!="Do"</formula>
    </cfRule>
    <cfRule type="expression" dxfId="402" priority="1272">
      <formula>#REF!="Mi"</formula>
    </cfRule>
    <cfRule type="expression" dxfId="401" priority="1273">
      <formula>#REF!="Mo"</formula>
    </cfRule>
    <cfRule type="expression" dxfId="400" priority="1274">
      <formula>#REF!="Di"</formula>
    </cfRule>
  </conditionalFormatting>
  <conditionalFormatting sqref="G17:G18">
    <cfRule type="expression" dxfId="399" priority="3124">
      <formula>$A13="Fr"</formula>
    </cfRule>
    <cfRule type="expression" dxfId="398" priority="3125">
      <formula>$A13="Do"</formula>
    </cfRule>
    <cfRule type="expression" dxfId="397" priority="3126">
      <formula>$A13="Mi"</formula>
    </cfRule>
    <cfRule type="expression" dxfId="396" priority="3127">
      <formula>$A13="Mo"</formula>
    </cfRule>
    <cfRule type="expression" dxfId="395" priority="3128">
      <formula>$A13="Di"</formula>
    </cfRule>
    <cfRule type="expression" dxfId="394" priority="3129">
      <formula>$A13="Sa"</formula>
    </cfRule>
  </conditionalFormatting>
  <conditionalFormatting sqref="G19 A124:G125">
    <cfRule type="expression" dxfId="393" priority="81">
      <formula>$A17="Sa"</formula>
    </cfRule>
    <cfRule type="expression" dxfId="392" priority="82">
      <formula>$A17="Fr"</formula>
    </cfRule>
    <cfRule type="expression" dxfId="391" priority="83">
      <formula>$A17="Do"</formula>
    </cfRule>
    <cfRule type="expression" dxfId="390" priority="84">
      <formula>$A17="Mi"</formula>
    </cfRule>
    <cfRule type="expression" dxfId="389" priority="85">
      <formula>$A17="Mo"</formula>
    </cfRule>
    <cfRule type="expression" dxfId="388" priority="86">
      <formula>$A17="Di"</formula>
    </cfRule>
  </conditionalFormatting>
  <conditionalFormatting sqref="G20 G32 G65 G114 G165">
    <cfRule type="expression" dxfId="387" priority="1727">
      <formula>$A15="Sa"</formula>
    </cfRule>
    <cfRule type="expression" dxfId="386" priority="1728">
      <formula>$A15="Fr"</formula>
    </cfRule>
    <cfRule type="expression" dxfId="385" priority="1729">
      <formula>$A15="Do"</formula>
    </cfRule>
    <cfRule type="expression" dxfId="384" priority="1730">
      <formula>$A15="Mi"</formula>
    </cfRule>
    <cfRule type="expression" dxfId="383" priority="1731">
      <formula>$A15="Mo"</formula>
    </cfRule>
    <cfRule type="expression" dxfId="382" priority="1732">
      <formula>$A15="Di"</formula>
    </cfRule>
  </conditionalFormatting>
  <conditionalFormatting sqref="G21:G23 G26 G58">
    <cfRule type="expression" dxfId="381" priority="321">
      <formula>$A19="Sa"</formula>
    </cfRule>
    <cfRule type="expression" dxfId="380" priority="322">
      <formula>$A19="Fr"</formula>
    </cfRule>
    <cfRule type="expression" dxfId="379" priority="323">
      <formula>$A19="Do"</formula>
    </cfRule>
    <cfRule type="expression" dxfId="378" priority="324">
      <formula>$A19="Mi"</formula>
    </cfRule>
    <cfRule type="expression" dxfId="377" priority="325">
      <formula>$A19="Mo"</formula>
    </cfRule>
    <cfRule type="expression" dxfId="376" priority="326">
      <formula>$A19="Di"</formula>
    </cfRule>
  </conditionalFormatting>
  <conditionalFormatting sqref="G23 G29:G30 G37:G38 G40:G41 G43 G45 G50:G51 G53:G54 G68 G72 G81:G85 G88:G89 G91 G93:G96 G100 G122:G123 A123 G131 A138:G139 G148:G151 G155:G156 G158 G170 G177">
    <cfRule type="expression" dxfId="375" priority="922">
      <formula>$A20="Fr"</formula>
    </cfRule>
    <cfRule type="expression" dxfId="374" priority="923">
      <formula>$A20="Do"</formula>
    </cfRule>
    <cfRule type="expression" dxfId="373" priority="924">
      <formula>$A20="Mi"</formula>
    </cfRule>
    <cfRule type="expression" dxfId="372" priority="925">
      <formula>$A20="Mo"</formula>
    </cfRule>
    <cfRule type="expression" dxfId="371" priority="926">
      <formula>$A20="Di"</formula>
    </cfRule>
  </conditionalFormatting>
  <conditionalFormatting sqref="G23 G30 G37:G38 G40:G41 G43 G45 G50:G51 G53:G54 G72 G81:G85 G88:G89 G91 G93:G96 G100 G122:G123 G131 A138:G139 G148:G151 G155:G156 G158 G170 G177 G68 A123">
    <cfRule type="expression" dxfId="370" priority="921">
      <formula>$A20="Sa"</formula>
    </cfRule>
  </conditionalFormatting>
  <conditionalFormatting sqref="G24:G25 G27:G28 G33:G34 G63:G64 G117 G130 G169 G176">
    <cfRule type="expression" dxfId="369" priority="2400">
      <formula>$A20="Sa"</formula>
    </cfRule>
    <cfRule type="expression" dxfId="368" priority="2401">
      <formula>$A20="Fr"</formula>
    </cfRule>
    <cfRule type="expression" dxfId="367" priority="2402">
      <formula>$A20="Do"</formula>
    </cfRule>
    <cfRule type="expression" dxfId="366" priority="2403">
      <formula>$A20="Mi"</formula>
    </cfRule>
    <cfRule type="expression" dxfId="365" priority="2404">
      <formula>$A20="Mo"</formula>
    </cfRule>
    <cfRule type="expression" dxfId="364" priority="2405">
      <formula>$A20="Di"</formula>
    </cfRule>
  </conditionalFormatting>
  <conditionalFormatting sqref="G29">
    <cfRule type="expression" dxfId="363" priority="2894">
      <formula>$A26="Sa"</formula>
    </cfRule>
  </conditionalFormatting>
  <conditionalFormatting sqref="G42 G44">
    <cfRule type="expression" dxfId="362" priority="2900">
      <formula>$A38="Fr"</formula>
    </cfRule>
    <cfRule type="expression" dxfId="361" priority="2901">
      <formula>$A38="Do"</formula>
    </cfRule>
    <cfRule type="expression" dxfId="360" priority="2902">
      <formula>$A38="Mi"</formula>
    </cfRule>
    <cfRule type="expression" dxfId="359" priority="2903">
      <formula>$A38="Mo"</formula>
    </cfRule>
    <cfRule type="expression" dxfId="358" priority="2904">
      <formula>$A38="Di"</formula>
    </cfRule>
    <cfRule type="expression" dxfId="357" priority="2916">
      <formula>$A38="Sa"</formula>
    </cfRule>
  </conditionalFormatting>
  <conditionalFormatting sqref="G53">
    <cfRule type="expression" dxfId="356" priority="1575">
      <formula>$A63="Sa"</formula>
    </cfRule>
    <cfRule type="expression" dxfId="355" priority="1576">
      <formula>$A63="Fr"</formula>
    </cfRule>
    <cfRule type="expression" dxfId="354" priority="1577">
      <formula>$A63="Do"</formula>
    </cfRule>
    <cfRule type="expression" dxfId="353" priority="1578">
      <formula>$A63="Mi"</formula>
    </cfRule>
    <cfRule type="expression" dxfId="352" priority="1579">
      <formula>$A63="Mo"</formula>
    </cfRule>
    <cfRule type="expression" dxfId="351" priority="1580">
      <formula>$A63="Di"</formula>
    </cfRule>
  </conditionalFormatting>
  <conditionalFormatting sqref="G54">
    <cfRule type="expression" dxfId="350" priority="2613">
      <formula>$A65="Sa"</formula>
    </cfRule>
    <cfRule type="expression" dxfId="349" priority="2614">
      <formula>$A65="Fr"</formula>
    </cfRule>
    <cfRule type="expression" dxfId="348" priority="2615">
      <formula>$A65="Do"</formula>
    </cfRule>
    <cfRule type="expression" dxfId="347" priority="2616">
      <formula>$A65="Mi"</formula>
    </cfRule>
    <cfRule type="expression" dxfId="346" priority="2617">
      <formula>$A65="Mo"</formula>
    </cfRule>
    <cfRule type="expression" dxfId="345" priority="2618">
      <formula>$A65="Di"</formula>
    </cfRule>
  </conditionalFormatting>
  <conditionalFormatting sqref="G56:G57 G126 G128:G129 G164">
    <cfRule type="expression" dxfId="344" priority="1623">
      <formula>$A50="Sa"</formula>
    </cfRule>
    <cfRule type="expression" dxfId="343" priority="1624">
      <formula>$A50="Fr"</formula>
    </cfRule>
    <cfRule type="expression" dxfId="342" priority="1625">
      <formula>$A50="Do"</formula>
    </cfRule>
    <cfRule type="expression" dxfId="341" priority="1626">
      <formula>$A50="Mi"</formula>
    </cfRule>
    <cfRule type="expression" dxfId="340" priority="1627">
      <formula>$A50="Mo"</formula>
    </cfRule>
    <cfRule type="expression" dxfId="339" priority="1628">
      <formula>$A50="Di"</formula>
    </cfRule>
  </conditionalFormatting>
  <conditionalFormatting sqref="G59 G172:G174">
    <cfRule type="expression" dxfId="338" priority="2424">
      <formula>$A54="Fr"</formula>
    </cfRule>
    <cfRule type="expression" dxfId="337" priority="2425">
      <formula>$A54="Do"</formula>
    </cfRule>
    <cfRule type="expression" dxfId="336" priority="2426">
      <formula>$A54="Mi"</formula>
    </cfRule>
    <cfRule type="expression" dxfId="335" priority="2427">
      <formula>$A54="Mo"</formula>
    </cfRule>
    <cfRule type="expression" dxfId="334" priority="2428">
      <formula>$A54="Di"</formula>
    </cfRule>
    <cfRule type="expression" dxfId="333" priority="2434">
      <formula>$A54="Sa"</formula>
    </cfRule>
  </conditionalFormatting>
  <conditionalFormatting sqref="G60 G12:G14 G52 G55 A137:G137 G171 G178 G31 G35:G36 G39 G46:G49 G69:G71 G86:G87 G101:G105 G108 G120:G121">
    <cfRule type="expression" dxfId="332" priority="897">
      <formula>$A10="Sa"</formula>
    </cfRule>
  </conditionalFormatting>
  <conditionalFormatting sqref="G60 N81">
    <cfRule type="expression" dxfId="331" priority="1599">
      <formula>$A61="Sa"</formula>
    </cfRule>
    <cfRule type="expression" dxfId="330" priority="1600">
      <formula>$A61="Fr"</formula>
    </cfRule>
    <cfRule type="expression" dxfId="329" priority="1601">
      <formula>$A61="Do"</formula>
    </cfRule>
    <cfRule type="expression" dxfId="328" priority="1602">
      <formula>$A61="Mi"</formula>
    </cfRule>
    <cfRule type="expression" dxfId="327" priority="1603">
      <formula>$A61="Mo"</formula>
    </cfRule>
    <cfRule type="expression" dxfId="326" priority="1604">
      <formula>$A61="Di"</formula>
    </cfRule>
  </conditionalFormatting>
  <conditionalFormatting sqref="G61:G62 G115:G116 G160:G163">
    <cfRule type="expression" dxfId="325" priority="1323">
      <formula>$A58="Sa"</formula>
    </cfRule>
    <cfRule type="expression" dxfId="324" priority="1324">
      <formula>$A58="Fr"</formula>
    </cfRule>
    <cfRule type="expression" dxfId="323" priority="1325">
      <formula>$A58="Do"</formula>
    </cfRule>
    <cfRule type="expression" dxfId="322" priority="1326">
      <formula>$A58="Mi"</formula>
    </cfRule>
    <cfRule type="expression" dxfId="321" priority="1327">
      <formula>$A58="Mo"</formula>
    </cfRule>
    <cfRule type="expression" dxfId="320" priority="1328">
      <formula>$A58="Di"</formula>
    </cfRule>
  </conditionalFormatting>
  <conditionalFormatting sqref="G66">
    <cfRule type="expression" dxfId="319" priority="3382">
      <formula>$A136="Sa"</formula>
    </cfRule>
    <cfRule type="expression" dxfId="318" priority="3383">
      <formula>$A136="Fr"</formula>
    </cfRule>
    <cfRule type="expression" dxfId="317" priority="3384">
      <formula>$A136="Do"</formula>
    </cfRule>
    <cfRule type="expression" dxfId="316" priority="3385">
      <formula>$A136="Mi"</formula>
    </cfRule>
    <cfRule type="expression" dxfId="315" priority="3386">
      <formula>$A136="Mo"</formula>
    </cfRule>
    <cfRule type="expression" dxfId="314" priority="3387">
      <formula>$A136="Di"</formula>
    </cfRule>
    <cfRule type="expression" dxfId="313" priority="3388">
      <formula>#REF!="Sa"</formula>
    </cfRule>
    <cfRule type="expression" dxfId="312" priority="3389">
      <formula>#REF!="Fr"</formula>
    </cfRule>
    <cfRule type="expression" dxfId="311" priority="3390">
      <formula>#REF!="Do"</formula>
    </cfRule>
    <cfRule type="expression" dxfId="310" priority="3391">
      <formula>#REF!="Mi"</formula>
    </cfRule>
    <cfRule type="expression" dxfId="309" priority="3392">
      <formula>#REF!="Mo"</formula>
    </cfRule>
    <cfRule type="expression" dxfId="308" priority="3393">
      <formula>#REF!="Di"</formula>
    </cfRule>
    <cfRule type="expression" dxfId="307" priority="3394">
      <formula>$A53="Sa"</formula>
    </cfRule>
    <cfRule type="expression" dxfId="306" priority="3395">
      <formula>$A53="Fr"</formula>
    </cfRule>
    <cfRule type="expression" dxfId="305" priority="3396">
      <formula>$A53="Do"</formula>
    </cfRule>
    <cfRule type="expression" dxfId="304" priority="3397">
      <formula>$A53="Mi"</formula>
    </cfRule>
    <cfRule type="expression" dxfId="303" priority="3398">
      <formula>$A53="Mo"</formula>
    </cfRule>
    <cfRule type="expression" dxfId="302" priority="3399">
      <formula>$A53="Di"</formula>
    </cfRule>
  </conditionalFormatting>
  <conditionalFormatting sqref="G67">
    <cfRule type="expression" dxfId="301" priority="1557">
      <formula>$A53="Sa"</formula>
    </cfRule>
    <cfRule type="expression" dxfId="300" priority="1558">
      <formula>$A53="Fr"</formula>
    </cfRule>
    <cfRule type="expression" dxfId="299" priority="1559">
      <formula>$A53="Do"</formula>
    </cfRule>
    <cfRule type="expression" dxfId="298" priority="1560">
      <formula>$A53="Mi"</formula>
    </cfRule>
    <cfRule type="expression" dxfId="297" priority="1561">
      <formula>$A53="Mo"</formula>
    </cfRule>
    <cfRule type="expression" dxfId="296" priority="1562">
      <formula>$A53="Di"</formula>
    </cfRule>
    <cfRule type="expression" dxfId="295" priority="1563">
      <formula>#REF!="Sa"</formula>
    </cfRule>
    <cfRule type="expression" dxfId="294" priority="1564">
      <formula>#REF!="Fr"</formula>
    </cfRule>
    <cfRule type="expression" dxfId="293" priority="1565">
      <formula>#REF!="Do"</formula>
    </cfRule>
    <cfRule type="expression" dxfId="292" priority="1566">
      <formula>#REF!="Mi"</formula>
    </cfRule>
    <cfRule type="expression" dxfId="291" priority="1567">
      <formula>#REF!="Mo"</formula>
    </cfRule>
    <cfRule type="expression" dxfId="290" priority="1568">
      <formula>#REF!="Di"</formula>
    </cfRule>
  </conditionalFormatting>
  <conditionalFormatting sqref="G68">
    <cfRule type="expression" dxfId="289" priority="927">
      <formula>#REF!="Sa"</formula>
    </cfRule>
    <cfRule type="expression" dxfId="288" priority="928">
      <formula>#REF!="Fr"</formula>
    </cfRule>
    <cfRule type="expression" dxfId="287" priority="929">
      <formula>#REF!="Do"</formula>
    </cfRule>
    <cfRule type="expression" dxfId="286" priority="930">
      <formula>#REF!="Mi"</formula>
    </cfRule>
    <cfRule type="expression" dxfId="285" priority="931">
      <formula>#REF!="Mo"</formula>
    </cfRule>
    <cfRule type="expression" dxfId="284" priority="932">
      <formula>#REF!="Di"</formula>
    </cfRule>
  </conditionalFormatting>
  <conditionalFormatting sqref="G73">
    <cfRule type="expression" dxfId="283" priority="1925">
      <formula>$A140="Sa"</formula>
    </cfRule>
    <cfRule type="expression" dxfId="282" priority="1926">
      <formula>$A140="Fr"</formula>
    </cfRule>
    <cfRule type="expression" dxfId="281" priority="1927">
      <formula>$A140="Do"</formula>
    </cfRule>
    <cfRule type="expression" dxfId="280" priority="1928">
      <formula>$A140="Mi"</formula>
    </cfRule>
    <cfRule type="expression" dxfId="279" priority="1929">
      <formula>$A140="Mo"</formula>
    </cfRule>
    <cfRule type="expression" dxfId="278" priority="1930">
      <formula>$A140="Di"</formula>
    </cfRule>
  </conditionalFormatting>
  <conditionalFormatting sqref="G74">
    <cfRule type="expression" dxfId="277" priority="3232">
      <formula>$A76="Sa"</formula>
    </cfRule>
    <cfRule type="expression" dxfId="276" priority="3233">
      <formula>$A76="Fr"</formula>
    </cfRule>
    <cfRule type="expression" dxfId="275" priority="3234">
      <formula>$A76="Do"</formula>
    </cfRule>
    <cfRule type="expression" dxfId="274" priority="3235">
      <formula>$A76="Mi"</formula>
    </cfRule>
    <cfRule type="expression" dxfId="273" priority="3236">
      <formula>$A76="Mo"</formula>
    </cfRule>
    <cfRule type="expression" dxfId="272" priority="3237">
      <formula>$A76="Di"</formula>
    </cfRule>
    <cfRule type="expression" dxfId="271" priority="3238">
      <formula>$A145="Sa"</formula>
    </cfRule>
    <cfRule type="expression" dxfId="270" priority="3239">
      <formula>$A145="Fr"</formula>
    </cfRule>
    <cfRule type="expression" dxfId="269" priority="3240">
      <formula>$A145="Do"</formula>
    </cfRule>
    <cfRule type="expression" dxfId="268" priority="3241">
      <formula>$A145="Mi"</formula>
    </cfRule>
    <cfRule type="expression" dxfId="267" priority="3242">
      <formula>$A145="Mo"</formula>
    </cfRule>
    <cfRule type="expression" dxfId="266" priority="3243">
      <formula>$A145="Di"</formula>
    </cfRule>
  </conditionalFormatting>
  <conditionalFormatting sqref="G74:G75">
    <cfRule type="expression" dxfId="265" priority="2383">
      <formula>$A144="Sa"</formula>
    </cfRule>
    <cfRule type="expression" dxfId="264" priority="2384">
      <formula>$A144="Fr"</formula>
    </cfRule>
    <cfRule type="expression" dxfId="263" priority="2385">
      <formula>$A144="Do"</formula>
    </cfRule>
    <cfRule type="expression" dxfId="262" priority="2386">
      <formula>$A144="Mi"</formula>
    </cfRule>
    <cfRule type="expression" dxfId="261" priority="2387">
      <formula>$A144="Mo"</formula>
    </cfRule>
    <cfRule type="expression" dxfId="260" priority="2388">
      <formula>$A144="Di"</formula>
    </cfRule>
    <cfRule type="expression" dxfId="259" priority="2389">
      <formula>#REF!="Sa"</formula>
    </cfRule>
    <cfRule type="expression" dxfId="258" priority="2390">
      <formula>#REF!="Fr"</formula>
    </cfRule>
    <cfRule type="expression" dxfId="257" priority="2391">
      <formula>#REF!="Do"</formula>
    </cfRule>
    <cfRule type="expression" dxfId="256" priority="2392">
      <formula>#REF!="Mi"</formula>
    </cfRule>
    <cfRule type="expression" dxfId="255" priority="2393">
      <formula>#REF!="Mo"</formula>
    </cfRule>
    <cfRule type="expression" dxfId="254" priority="2394">
      <formula>#REF!="Di"</formula>
    </cfRule>
    <cfRule type="expression" dxfId="253" priority="2823">
      <formula>#REF!="Sa"</formula>
    </cfRule>
    <cfRule type="expression" dxfId="252" priority="2824">
      <formula>#REF!="Fr"</formula>
    </cfRule>
    <cfRule type="expression" dxfId="251" priority="2825">
      <formula>#REF!="Do"</formula>
    </cfRule>
    <cfRule type="expression" dxfId="250" priority="2826">
      <formula>#REF!="Mi"</formula>
    </cfRule>
    <cfRule type="expression" dxfId="249" priority="2827">
      <formula>#REF!="Mo"</formula>
    </cfRule>
    <cfRule type="expression" dxfId="248" priority="2828">
      <formula>#REF!="Di"</formula>
    </cfRule>
  </conditionalFormatting>
  <conditionalFormatting sqref="G75">
    <cfRule type="expression" dxfId="247" priority="3400">
      <formula>$A69="Sa"</formula>
    </cfRule>
    <cfRule type="expression" dxfId="246" priority="3401">
      <formula>$A69="Fr"</formula>
    </cfRule>
    <cfRule type="expression" dxfId="245" priority="3402">
      <formula>$A69="Do"</formula>
    </cfRule>
    <cfRule type="expression" dxfId="244" priority="3403">
      <formula>$A69="Mi"</formula>
    </cfRule>
    <cfRule type="expression" dxfId="243" priority="3404">
      <formula>$A69="Mo"</formula>
    </cfRule>
    <cfRule type="expression" dxfId="242" priority="3405">
      <formula>$A69="Di"</formula>
    </cfRule>
    <cfRule type="expression" dxfId="241" priority="3406">
      <formula>#REF!="Sa"</formula>
    </cfRule>
    <cfRule type="expression" dxfId="240" priority="3407">
      <formula>#REF!="Fr"</formula>
    </cfRule>
    <cfRule type="expression" dxfId="239" priority="3408">
      <formula>#REF!="Do"</formula>
    </cfRule>
    <cfRule type="expression" dxfId="238" priority="3409">
      <formula>#REF!="Mi"</formula>
    </cfRule>
    <cfRule type="expression" dxfId="237" priority="3410">
      <formula>#REF!="Mo"</formula>
    </cfRule>
    <cfRule type="expression" dxfId="236" priority="3411">
      <formula>#REF!="Di"</formula>
    </cfRule>
    <cfRule type="expression" dxfId="235" priority="3412">
      <formula>#REF!="Sa"</formula>
    </cfRule>
    <cfRule type="expression" dxfId="234" priority="3413">
      <formula>#REF!="Fr"</formula>
    </cfRule>
    <cfRule type="expression" dxfId="233" priority="3414">
      <formula>#REF!="Do"</formula>
    </cfRule>
    <cfRule type="expression" dxfId="232" priority="3415">
      <formula>#REF!="Mi"</formula>
    </cfRule>
    <cfRule type="expression" dxfId="231" priority="3416">
      <formula>#REF!="Mo"</formula>
    </cfRule>
    <cfRule type="expression" dxfId="230" priority="3417">
      <formula>#REF!="Di"</formula>
    </cfRule>
    <cfRule type="expression" dxfId="229" priority="3418">
      <formula>$A147="Sa"</formula>
    </cfRule>
    <cfRule type="expression" dxfId="228" priority="3419">
      <formula>$A147="Fr"</formula>
    </cfRule>
    <cfRule type="expression" dxfId="227" priority="3420">
      <formula>$A147="Do"</formula>
    </cfRule>
    <cfRule type="expression" dxfId="226" priority="3421">
      <formula>$A147="Mi"</formula>
    </cfRule>
    <cfRule type="expression" dxfId="225" priority="3422">
      <formula>$A147="Mo"</formula>
    </cfRule>
    <cfRule type="expression" dxfId="224" priority="3423">
      <formula>$A147="Di"</formula>
    </cfRule>
    <cfRule type="expression" dxfId="223" priority="3424">
      <formula>#REF!="Sa"</formula>
    </cfRule>
    <cfRule type="expression" dxfId="222" priority="3425">
      <formula>#REF!="Fr"</formula>
    </cfRule>
    <cfRule type="expression" dxfId="221" priority="3426">
      <formula>#REF!="Do"</formula>
    </cfRule>
    <cfRule type="expression" dxfId="220" priority="3427">
      <formula>#REF!="Mi"</formula>
    </cfRule>
    <cfRule type="expression" dxfId="219" priority="3428">
      <formula>#REF!="Mo"</formula>
    </cfRule>
    <cfRule type="expression" dxfId="218" priority="3429">
      <formula>#REF!="Di"</formula>
    </cfRule>
  </conditionalFormatting>
  <conditionalFormatting sqref="G76">
    <cfRule type="expression" dxfId="217" priority="1041">
      <formula>$A144="Sa"</formula>
    </cfRule>
    <cfRule type="expression" dxfId="216" priority="1042">
      <formula>$A144="Fr"</formula>
    </cfRule>
    <cfRule type="expression" dxfId="215" priority="1043">
      <formula>$A144="Do"</formula>
    </cfRule>
    <cfRule type="expression" dxfId="214" priority="1044">
      <formula>$A144="Mi"</formula>
    </cfRule>
    <cfRule type="expression" dxfId="213" priority="1045">
      <formula>$A144="Mo"</formula>
    </cfRule>
    <cfRule type="expression" dxfId="212" priority="1046">
      <formula>$A144="Di"</formula>
    </cfRule>
  </conditionalFormatting>
  <conditionalFormatting sqref="G77">
    <cfRule type="expression" dxfId="211" priority="3316">
      <formula>$A144="Sa"</formula>
    </cfRule>
    <cfRule type="expression" dxfId="210" priority="3317">
      <formula>$A144="Fr"</formula>
    </cfRule>
    <cfRule type="expression" dxfId="209" priority="3318">
      <formula>$A144="Do"</formula>
    </cfRule>
    <cfRule type="expression" dxfId="208" priority="3319">
      <formula>$A144="Mi"</formula>
    </cfRule>
    <cfRule type="expression" dxfId="207" priority="3320">
      <formula>$A144="Mo"</formula>
    </cfRule>
    <cfRule type="expression" dxfId="206" priority="3321">
      <formula>$A144="Di"</formula>
    </cfRule>
    <cfRule type="expression" dxfId="205" priority="3322">
      <formula>$A73="Sa"</formula>
    </cfRule>
    <cfRule type="expression" dxfId="204" priority="3323">
      <formula>$A73="Fr"</formula>
    </cfRule>
    <cfRule type="expression" dxfId="203" priority="3324">
      <formula>$A73="Do"</formula>
    </cfRule>
    <cfRule type="expression" dxfId="202" priority="3325">
      <formula>$A73="Mi"</formula>
    </cfRule>
    <cfRule type="expression" dxfId="201" priority="3326">
      <formula>$A73="Mo"</formula>
    </cfRule>
    <cfRule type="expression" dxfId="200" priority="3327">
      <formula>$A73="Di"</formula>
    </cfRule>
    <cfRule type="expression" dxfId="199" priority="3328">
      <formula>#REF!="Sa"</formula>
    </cfRule>
    <cfRule type="expression" dxfId="198" priority="3329">
      <formula>#REF!="Fr"</formula>
    </cfRule>
    <cfRule type="expression" dxfId="197" priority="3330">
      <formula>#REF!="Do"</formula>
    </cfRule>
    <cfRule type="expression" dxfId="196" priority="3331">
      <formula>#REF!="Mi"</formula>
    </cfRule>
    <cfRule type="expression" dxfId="195" priority="3332">
      <formula>#REF!="Mo"</formula>
    </cfRule>
    <cfRule type="expression" dxfId="194" priority="3333">
      <formula>#REF!="Di"</formula>
    </cfRule>
  </conditionalFormatting>
  <conditionalFormatting sqref="G78">
    <cfRule type="expression" dxfId="193" priority="945">
      <formula>$A70="Sa"</formula>
    </cfRule>
    <cfRule type="expression" dxfId="192" priority="946">
      <formula>$A70="Fr"</formula>
    </cfRule>
    <cfRule type="expression" dxfId="191" priority="947">
      <formula>$A70="Do"</formula>
    </cfRule>
    <cfRule type="expression" dxfId="190" priority="948">
      <formula>$A70="Mi"</formula>
    </cfRule>
    <cfRule type="expression" dxfId="189" priority="949">
      <formula>$A70="Mo"</formula>
    </cfRule>
    <cfRule type="expression" dxfId="188" priority="950">
      <formula>$A70="Di"</formula>
    </cfRule>
  </conditionalFormatting>
  <conditionalFormatting sqref="G79:G80">
    <cfRule type="expression" dxfId="187" priority="2619">
      <formula>$A75="Fr"</formula>
    </cfRule>
    <cfRule type="expression" dxfId="186" priority="2620">
      <formula>$A75="Do"</formula>
    </cfRule>
    <cfRule type="expression" dxfId="185" priority="2621">
      <formula>$A75="Mi"</formula>
    </cfRule>
    <cfRule type="expression" dxfId="184" priority="2622">
      <formula>$A75="Mo"</formula>
    </cfRule>
    <cfRule type="expression" dxfId="183" priority="2623">
      <formula>$A75="Di"</formula>
    </cfRule>
    <cfRule type="expression" dxfId="182" priority="2624">
      <formula>$A75="Sa"</formula>
    </cfRule>
  </conditionalFormatting>
  <conditionalFormatting sqref="G90 G92 G97:G99 G106:G107 G113 G157">
    <cfRule type="expression" dxfId="181" priority="2009">
      <formula>$A86="Sa"</formula>
    </cfRule>
    <cfRule type="expression" dxfId="180" priority="2010">
      <formula>$A86="Fr"</formula>
    </cfRule>
    <cfRule type="expression" dxfId="179" priority="2011">
      <formula>$A86="Do"</formula>
    </cfRule>
    <cfRule type="expression" dxfId="178" priority="2012">
      <formula>$A86="Mi"</formula>
    </cfRule>
    <cfRule type="expression" dxfId="177" priority="2013">
      <formula>$A86="Mo"</formula>
    </cfRule>
    <cfRule type="expression" dxfId="176" priority="2014">
      <formula>$A86="Di"</formula>
    </cfRule>
  </conditionalFormatting>
  <conditionalFormatting sqref="G97:G98">
    <cfRule type="expression" dxfId="175" priority="2589">
      <formula>$A15="Sa"</formula>
    </cfRule>
    <cfRule type="expression" dxfId="174" priority="2590">
      <formula>$A15="Fr"</formula>
    </cfRule>
    <cfRule type="expression" dxfId="173" priority="2591">
      <formula>$A15="Do"</formula>
    </cfRule>
    <cfRule type="expression" dxfId="172" priority="2592">
      <formula>$A15="Mi"</formula>
    </cfRule>
    <cfRule type="expression" dxfId="171" priority="2593">
      <formula>$A15="Mo"</formula>
    </cfRule>
    <cfRule type="expression" dxfId="170" priority="2594">
      <formula>$A15="Di"</formula>
    </cfRule>
  </conditionalFormatting>
  <conditionalFormatting sqref="G109:G110">
    <cfRule type="expression" dxfId="169" priority="1467">
      <formula>$A2="Sa"</formula>
    </cfRule>
    <cfRule type="expression" dxfId="168" priority="1468">
      <formula>$A2="Fr"</formula>
    </cfRule>
    <cfRule type="expression" dxfId="167" priority="1469">
      <formula>$A2="Do"</formula>
    </cfRule>
    <cfRule type="expression" dxfId="166" priority="1470">
      <formula>$A2="Mi"</formula>
    </cfRule>
    <cfRule type="expression" dxfId="165" priority="1471">
      <formula>$A2="Mo"</formula>
    </cfRule>
    <cfRule type="expression" dxfId="164" priority="1472">
      <formula>$A2="Di"</formula>
    </cfRule>
  </conditionalFormatting>
  <conditionalFormatting sqref="G111:G112">
    <cfRule type="expression" dxfId="163" priority="1311">
      <formula>$A158="Sa"</formula>
    </cfRule>
    <cfRule type="expression" dxfId="162" priority="1312">
      <formula>$A158="Fr"</formula>
    </cfRule>
    <cfRule type="expression" dxfId="161" priority="1313">
      <formula>$A158="Do"</formula>
    </cfRule>
    <cfRule type="expression" dxfId="160" priority="1314">
      <formula>$A158="Mi"</formula>
    </cfRule>
    <cfRule type="expression" dxfId="159" priority="1315">
      <formula>$A158="Mo"</formula>
    </cfRule>
    <cfRule type="expression" dxfId="158" priority="1316">
      <formula>$A158="Di"</formula>
    </cfRule>
  </conditionalFormatting>
  <conditionalFormatting sqref="G119">
    <cfRule type="expression" dxfId="157" priority="2311">
      <formula>$A164="Sa"</formula>
    </cfRule>
    <cfRule type="expression" dxfId="156" priority="2312">
      <formula>$A164="Fr"</formula>
    </cfRule>
    <cfRule type="expression" dxfId="155" priority="2313">
      <formula>$A164="Do"</formula>
    </cfRule>
    <cfRule type="expression" dxfId="154" priority="2314">
      <formula>$A164="Mi"</formula>
    </cfRule>
    <cfRule type="expression" dxfId="153" priority="2315">
      <formula>$A164="Mo"</formula>
    </cfRule>
    <cfRule type="expression" dxfId="152" priority="2316">
      <formula>$A164="Di"</formula>
    </cfRule>
  </conditionalFormatting>
  <conditionalFormatting sqref="G123">
    <cfRule type="expression" dxfId="151" priority="2517">
      <formula>$A128="Fr"</formula>
    </cfRule>
    <cfRule type="expression" dxfId="150" priority="2518">
      <formula>$A128="Do"</formula>
    </cfRule>
    <cfRule type="expression" dxfId="149" priority="2519">
      <formula>$A128="Mi"</formula>
    </cfRule>
    <cfRule type="expression" dxfId="148" priority="2520">
      <formula>$A128="Mo"</formula>
    </cfRule>
    <cfRule type="expression" dxfId="147" priority="2521">
      <formula>$A128="Di"</formula>
    </cfRule>
    <cfRule type="expression" dxfId="146" priority="2522">
      <formula>$A128="Sa"</formula>
    </cfRule>
  </conditionalFormatting>
  <conditionalFormatting sqref="G127">
    <cfRule type="expression" dxfId="145" priority="2917">
      <formula>$A122="Fr"</formula>
    </cfRule>
    <cfRule type="expression" dxfId="144" priority="2918">
      <formula>$A122="Do"</formula>
    </cfRule>
    <cfRule type="expression" dxfId="143" priority="2919">
      <formula>$A122="Mi"</formula>
    </cfRule>
    <cfRule type="expression" dxfId="142" priority="2920">
      <formula>$A122="Mo"</formula>
    </cfRule>
    <cfRule type="expression" dxfId="141" priority="2921">
      <formula>$A122="Di"</formula>
    </cfRule>
    <cfRule type="expression" dxfId="140" priority="2922">
      <formula>$A122="Sa"</formula>
    </cfRule>
  </conditionalFormatting>
  <conditionalFormatting sqref="G140">
    <cfRule type="expression" dxfId="139" priority="2471">
      <formula>$A138="Sa"</formula>
    </cfRule>
    <cfRule type="expression" dxfId="138" priority="2472">
      <formula>$A138="Fr"</formula>
    </cfRule>
    <cfRule type="expression" dxfId="137" priority="2473">
      <formula>$A138="Do"</formula>
    </cfRule>
    <cfRule type="expression" dxfId="136" priority="2474">
      <formula>$A138="Mi"</formula>
    </cfRule>
    <cfRule type="expression" dxfId="135" priority="2475">
      <formula>$A138="Mo"</formula>
    </cfRule>
    <cfRule type="expression" dxfId="134" priority="2476">
      <formula>$A138="Di"</formula>
    </cfRule>
    <cfRule type="expression" dxfId="133" priority="2477">
      <formula>#REF!="Sa"</formula>
    </cfRule>
    <cfRule type="expression" dxfId="132" priority="2478">
      <formula>#REF!="Fr"</formula>
    </cfRule>
    <cfRule type="expression" dxfId="131" priority="2479">
      <formula>#REF!="Do"</formula>
    </cfRule>
    <cfRule type="expression" dxfId="130" priority="2480">
      <formula>#REF!="Mi"</formula>
    </cfRule>
    <cfRule type="expression" dxfId="129" priority="2481">
      <formula>#REF!="Mo"</formula>
    </cfRule>
    <cfRule type="expression" dxfId="128" priority="2482">
      <formula>#REF!="Di"</formula>
    </cfRule>
  </conditionalFormatting>
  <conditionalFormatting sqref="G141:G142">
    <cfRule type="expression" dxfId="127" priority="1203">
      <formula>$A140="Sa"</formula>
    </cfRule>
    <cfRule type="expression" dxfId="126" priority="1204">
      <formula>$A140="Fr"</formula>
    </cfRule>
    <cfRule type="expression" dxfId="125" priority="1205">
      <formula>$A140="Do"</formula>
    </cfRule>
    <cfRule type="expression" dxfId="124" priority="1206">
      <formula>$A140="Mi"</formula>
    </cfRule>
    <cfRule type="expression" dxfId="123" priority="1207">
      <formula>$A140="Mo"</formula>
    </cfRule>
    <cfRule type="expression" dxfId="122" priority="1208">
      <formula>$A140="Di"</formula>
    </cfRule>
    <cfRule type="expression" dxfId="121" priority="1209">
      <formula>#REF!="Sa"</formula>
    </cfRule>
    <cfRule type="expression" dxfId="120" priority="1210">
      <formula>#REF!="Fr"</formula>
    </cfRule>
    <cfRule type="expression" dxfId="119" priority="1211">
      <formula>#REF!="Do"</formula>
    </cfRule>
    <cfRule type="expression" dxfId="118" priority="1212">
      <formula>#REF!="Mi"</formula>
    </cfRule>
    <cfRule type="expression" dxfId="117" priority="1213">
      <formula>#REF!="Mo"</formula>
    </cfRule>
    <cfRule type="expression" dxfId="116" priority="1214">
      <formula>#REF!="Di"</formula>
    </cfRule>
  </conditionalFormatting>
  <conditionalFormatting sqref="G143:G144">
    <cfRule type="expression" dxfId="115" priority="1077">
      <formula>$A65="Sa"</formula>
    </cfRule>
    <cfRule type="expression" dxfId="114" priority="1078">
      <formula>$A65="Fr"</formula>
    </cfRule>
    <cfRule type="expression" dxfId="113" priority="1079">
      <formula>$A65="Do"</formula>
    </cfRule>
    <cfRule type="expression" dxfId="112" priority="1080">
      <formula>$A65="Mi"</formula>
    </cfRule>
    <cfRule type="expression" dxfId="111" priority="1081">
      <formula>$A65="Mo"</formula>
    </cfRule>
    <cfRule type="expression" dxfId="110" priority="1082">
      <formula>$A65="Di"</formula>
    </cfRule>
    <cfRule type="expression" dxfId="109" priority="1083">
      <formula>#REF!="Sa"</formula>
    </cfRule>
    <cfRule type="expression" dxfId="108" priority="1084">
      <formula>#REF!="Fr"</formula>
    </cfRule>
    <cfRule type="expression" dxfId="107" priority="1085">
      <formula>#REF!="Do"</formula>
    </cfRule>
    <cfRule type="expression" dxfId="106" priority="1086">
      <formula>#REF!="Mi"</formula>
    </cfRule>
    <cfRule type="expression" dxfId="105" priority="1087">
      <formula>#REF!="Mo"</formula>
    </cfRule>
    <cfRule type="expression" dxfId="104" priority="1088">
      <formula>#REF!="Di"</formula>
    </cfRule>
  </conditionalFormatting>
  <conditionalFormatting sqref="G145:G146">
    <cfRule type="expression" dxfId="103" priority="1239">
      <formula>$A77="Sa"</formula>
    </cfRule>
    <cfRule type="expression" dxfId="102" priority="1240">
      <formula>$A77="Fr"</formula>
    </cfRule>
    <cfRule type="expression" dxfId="101" priority="1241">
      <formula>$A77="Do"</formula>
    </cfRule>
    <cfRule type="expression" dxfId="100" priority="1242">
      <formula>$A77="Mi"</formula>
    </cfRule>
    <cfRule type="expression" dxfId="99" priority="1243">
      <formula>$A77="Mo"</formula>
    </cfRule>
    <cfRule type="expression" dxfId="98" priority="1244">
      <formula>$A77="Di"</formula>
    </cfRule>
    <cfRule type="expression" dxfId="97" priority="1245">
      <formula>#REF!="Sa"</formula>
    </cfRule>
    <cfRule type="expression" dxfId="96" priority="1246">
      <formula>#REF!="Fr"</formula>
    </cfRule>
    <cfRule type="expression" dxfId="95" priority="1247">
      <formula>#REF!="Do"</formula>
    </cfRule>
    <cfRule type="expression" dxfId="94" priority="1248">
      <formula>#REF!="Mi"</formula>
    </cfRule>
    <cfRule type="expression" dxfId="93" priority="1249">
      <formula>#REF!="Mo"</formula>
    </cfRule>
    <cfRule type="expression" dxfId="92" priority="1250">
      <formula>#REF!="Di"</formula>
    </cfRule>
  </conditionalFormatting>
  <conditionalFormatting sqref="G147">
    <cfRule type="expression" dxfId="91" priority="1973">
      <formula>$A74="Sa"</formula>
    </cfRule>
    <cfRule type="expression" dxfId="90" priority="1974">
      <formula>$A74="Fr"</formula>
    </cfRule>
    <cfRule type="expression" dxfId="89" priority="1975">
      <formula>$A74="Do"</formula>
    </cfRule>
    <cfRule type="expression" dxfId="88" priority="1976">
      <formula>$A74="Mi"</formula>
    </cfRule>
    <cfRule type="expression" dxfId="87" priority="1977">
      <formula>$A74="Mo"</formula>
    </cfRule>
    <cfRule type="expression" dxfId="86" priority="1978">
      <formula>$A74="Di"</formula>
    </cfRule>
    <cfRule type="expression" dxfId="85" priority="1979">
      <formula>#REF!="Sa"</formula>
    </cfRule>
    <cfRule type="expression" dxfId="84" priority="1980">
      <formula>#REF!="Fr"</formula>
    </cfRule>
    <cfRule type="expression" dxfId="83" priority="1981">
      <formula>#REF!="Do"</formula>
    </cfRule>
    <cfRule type="expression" dxfId="82" priority="1982">
      <formula>#REF!="Mi"</formula>
    </cfRule>
    <cfRule type="expression" dxfId="81" priority="1983">
      <formula>#REF!="Mo"</formula>
    </cfRule>
    <cfRule type="expression" dxfId="80" priority="1984">
      <formula>#REF!="Di"</formula>
    </cfRule>
  </conditionalFormatting>
  <conditionalFormatting sqref="G153:G154">
    <cfRule type="expression" dxfId="79" priority="2153">
      <formula>$A171="Sa"</formula>
    </cfRule>
    <cfRule type="expression" dxfId="78" priority="2154">
      <formula>$A171="Fr"</formula>
    </cfRule>
    <cfRule type="expression" dxfId="77" priority="2155">
      <formula>$A171="Do"</formula>
    </cfRule>
    <cfRule type="expression" dxfId="76" priority="2156">
      <formula>$A171="Mi"</formula>
    </cfRule>
    <cfRule type="expression" dxfId="75" priority="2157">
      <formula>$A171="Mo"</formula>
    </cfRule>
    <cfRule type="expression" dxfId="74" priority="2158">
      <formula>$A171="Di"</formula>
    </cfRule>
  </conditionalFormatting>
  <conditionalFormatting sqref="G159">
    <cfRule type="expression" dxfId="73" priority="1305">
      <formula>$A108="Sa"</formula>
    </cfRule>
    <cfRule type="expression" dxfId="72" priority="1306">
      <formula>$A108="Fr"</formula>
    </cfRule>
    <cfRule type="expression" dxfId="71" priority="1307">
      <formula>$A108="Do"</formula>
    </cfRule>
    <cfRule type="expression" dxfId="70" priority="1308">
      <formula>$A108="Mi"</formula>
    </cfRule>
    <cfRule type="expression" dxfId="69" priority="1309">
      <formula>$A108="Mo"</formula>
    </cfRule>
    <cfRule type="expression" dxfId="68" priority="1310">
      <formula>$A108="Di"</formula>
    </cfRule>
  </conditionalFormatting>
  <conditionalFormatting sqref="G163 G3">
    <cfRule type="expression" dxfId="67" priority="1527">
      <formula>#REF!="Sa"</formula>
    </cfRule>
  </conditionalFormatting>
  <conditionalFormatting sqref="G163">
    <cfRule type="expression" dxfId="66" priority="3111">
      <formula>$A170="Do"</formula>
    </cfRule>
    <cfRule type="expression" dxfId="65" priority="3112">
      <formula>$A170="Mi"</formula>
    </cfRule>
    <cfRule type="expression" dxfId="64" priority="3113">
      <formula>$A170="Mo"</formula>
    </cfRule>
    <cfRule type="expression" dxfId="63" priority="3114">
      <formula>$A170="Di"</formula>
    </cfRule>
    <cfRule type="expression" dxfId="62" priority="3115">
      <formula>$A170="Sa"</formula>
    </cfRule>
    <cfRule type="expression" dxfId="61" priority="3117">
      <formula>$A170="Fr"</formula>
    </cfRule>
    <cfRule type="expression" dxfId="60" priority="3118">
      <formula>$A177="Sa"</formula>
    </cfRule>
    <cfRule type="expression" dxfId="59" priority="3119">
      <formula>$A177="Fr"</formula>
    </cfRule>
    <cfRule type="expression" dxfId="58" priority="3120">
      <formula>$A177="Do"</formula>
    </cfRule>
    <cfRule type="expression" dxfId="57" priority="3121">
      <formula>$A177="Mi"</formula>
    </cfRule>
    <cfRule type="expression" dxfId="56" priority="3122">
      <formula>$A177="Mo"</formula>
    </cfRule>
    <cfRule type="expression" dxfId="55" priority="3123">
      <formula>$A177="Di"</formula>
    </cfRule>
  </conditionalFormatting>
  <conditionalFormatting sqref="G164">
    <cfRule type="expression" dxfId="54" priority="2199">
      <formula>$A115="Sa"</formula>
    </cfRule>
    <cfRule type="expression" dxfId="53" priority="2200">
      <formula>$A115="Fr"</formula>
    </cfRule>
    <cfRule type="expression" dxfId="52" priority="2201">
      <formula>$A115="Do"</formula>
    </cfRule>
    <cfRule type="expression" dxfId="51" priority="2202">
      <formula>$A115="Mi"</formula>
    </cfRule>
    <cfRule type="expression" dxfId="50" priority="2203">
      <formula>$A115="Mo"</formula>
    </cfRule>
    <cfRule type="expression" dxfId="49" priority="2204">
      <formula>$A115="Di"</formula>
    </cfRule>
  </conditionalFormatting>
  <conditionalFormatting sqref="G167:G168">
    <cfRule type="expression" dxfId="48" priority="1781">
      <formula>#REF!="Sa"</formula>
    </cfRule>
    <cfRule type="expression" dxfId="47" priority="1782">
      <formula>#REF!="Fr"</formula>
    </cfRule>
    <cfRule type="expression" dxfId="46" priority="1783">
      <formula>#REF!="Do"</formula>
    </cfRule>
    <cfRule type="expression" dxfId="45" priority="1784">
      <formula>#REF!="Mi"</formula>
    </cfRule>
    <cfRule type="expression" dxfId="44" priority="1785">
      <formula>#REF!="Mo"</formula>
    </cfRule>
    <cfRule type="expression" dxfId="43" priority="1786">
      <formula>#REF!="Di"</formula>
    </cfRule>
  </conditionalFormatting>
  <conditionalFormatting sqref="G171">
    <cfRule type="expression" dxfId="42" priority="2099">
      <formula>$A150="Sa"</formula>
    </cfRule>
    <cfRule type="expression" dxfId="41" priority="2100">
      <formula>$A150="Fr"</formula>
    </cfRule>
    <cfRule type="expression" dxfId="40" priority="2101">
      <formula>$A150="Do"</formula>
    </cfRule>
    <cfRule type="expression" dxfId="39" priority="2102">
      <formula>$A150="Mi"</formula>
    </cfRule>
    <cfRule type="expression" dxfId="38" priority="2103">
      <formula>$A150="Mo"</formula>
    </cfRule>
    <cfRule type="expression" dxfId="37" priority="2104">
      <formula>$A150="Di"</formula>
    </cfRule>
  </conditionalFormatting>
  <conditionalFormatting sqref="H1">
    <cfRule type="expression" dxfId="36" priority="447">
      <formula>$A1="Sa"</formula>
    </cfRule>
    <cfRule type="expression" dxfId="35" priority="448">
      <formula>$A1="Fr"</formula>
    </cfRule>
    <cfRule type="expression" dxfId="34" priority="449">
      <formula>$A1="Do"</formula>
    </cfRule>
    <cfRule type="expression" dxfId="33" priority="450">
      <formula>$A1="Mi"</formula>
    </cfRule>
    <cfRule type="expression" dxfId="32" priority="451">
      <formula>$A1="Mo"</formula>
    </cfRule>
    <cfRule type="expression" dxfId="31" priority="452">
      <formula>$A1="Di"</formula>
    </cfRule>
  </conditionalFormatting>
  <conditionalFormatting sqref="K161:K162 K168 K173">
    <cfRule type="expression" dxfId="30" priority="13">
      <formula>$A161="Sa"</formula>
    </cfRule>
  </conditionalFormatting>
  <conditionalFormatting sqref="M22:N22">
    <cfRule type="expression" dxfId="29" priority="111">
      <formula>$A22="Sa"</formula>
    </cfRule>
    <cfRule type="expression" dxfId="28" priority="112">
      <formula>$A22="Fr"</formula>
    </cfRule>
    <cfRule type="expression" dxfId="27" priority="113">
      <formula>$A22="Do"</formula>
    </cfRule>
    <cfRule type="expression" dxfId="26" priority="114">
      <formula>$A22="Mi"</formula>
    </cfRule>
    <cfRule type="expression" dxfId="25" priority="115">
      <formula>$A22="Mo"</formula>
    </cfRule>
    <cfRule type="expression" dxfId="24" priority="116">
      <formula>$A22="Di"</formula>
    </cfRule>
  </conditionalFormatting>
  <conditionalFormatting sqref="N56:N72 N74:N80">
    <cfRule type="expression" dxfId="23" priority="45">
      <formula>$A56="Sa"</formula>
    </cfRule>
    <cfRule type="expression" dxfId="22" priority="46">
      <formula>$A56="Fr"</formula>
    </cfRule>
    <cfRule type="expression" dxfId="21" priority="47">
      <formula>$A56="Do"</formula>
    </cfRule>
    <cfRule type="expression" dxfId="20" priority="48">
      <formula>$A56="Mi"</formula>
    </cfRule>
    <cfRule type="expression" dxfId="19" priority="49">
      <formula>$A56="Mo"</formula>
    </cfRule>
    <cfRule type="expression" dxfId="18" priority="50">
      <formula>$A56="Di"</formula>
    </cfRule>
  </conditionalFormatting>
  <conditionalFormatting sqref="N73">
    <cfRule type="expression" dxfId="17" priority="3051">
      <formula>$A69="Sa"</formula>
    </cfRule>
    <cfRule type="expression" dxfId="16" priority="3053">
      <formula>$A69="Fr"</formula>
    </cfRule>
    <cfRule type="expression" dxfId="15" priority="3054">
      <formula>$A69="Do"</formula>
    </cfRule>
    <cfRule type="expression" dxfId="14" priority="3055">
      <formula>$A69="Mi"</formula>
    </cfRule>
    <cfRule type="expression" dxfId="13" priority="3056">
      <formula>$A69="Mo"</formula>
    </cfRule>
    <cfRule type="expression" dxfId="12" priority="3057">
      <formula>$A69="Di"</formula>
    </cfRule>
  </conditionalFormatting>
  <conditionalFormatting sqref="N82:N83">
    <cfRule type="expression" dxfId="11" priority="1685">
      <formula>$A84="Sa"</formula>
    </cfRule>
    <cfRule type="expression" dxfId="10" priority="1686">
      <formula>$A84="Fr"</formula>
    </cfRule>
    <cfRule type="expression" dxfId="9" priority="1687">
      <formula>$A84="Do"</formula>
    </cfRule>
    <cfRule type="expression" dxfId="8" priority="1688">
      <formula>$A84="Mi"</formula>
    </cfRule>
    <cfRule type="expression" dxfId="7" priority="1689">
      <formula>$A84="Mo"</formula>
    </cfRule>
    <cfRule type="expression" dxfId="6" priority="1690">
      <formula>$A84="Di"</formula>
    </cfRule>
  </conditionalFormatting>
  <conditionalFormatting sqref="N165">
    <cfRule type="expression" dxfId="5" priority="201">
      <formula>$A166="Sa"</formula>
    </cfRule>
    <cfRule type="expression" dxfId="4" priority="202">
      <formula>$A166="Fr"</formula>
    </cfRule>
    <cfRule type="expression" dxfId="3" priority="203">
      <formula>$A166="Do"</formula>
    </cfRule>
    <cfRule type="expression" dxfId="2" priority="204">
      <formula>$A166="Mi"</formula>
    </cfRule>
    <cfRule type="expression" dxfId="1" priority="205">
      <formula>$A166="Mo"</formula>
    </cfRule>
    <cfRule type="expression" dxfId="0" priority="206">
      <formula>$A166="Di"</formula>
    </cfRule>
  </conditionalFormatting>
  <printOptions gridLines="1"/>
  <pageMargins left="0.31496062992125984" right="0.31496062992125984" top="0.78740157480314965" bottom="0.78740157480314965" header="0.31496062992125984" footer="0.31496062992125984"/>
  <pageSetup paperSize="8" scale="88" fitToHeight="0" orientation="landscape" r:id="rId1"/>
  <rowBreaks count="5" manualBreakCount="5">
    <brk id="33" max="13" man="1"/>
    <brk id="64" max="13" man="1"/>
    <brk id="87" max="13" man="1"/>
    <brk id="118" max="13" man="1"/>
    <brk id="152" max="13" man="1"/>
  </rowBreaks>
  <ignoredErrors>
    <ignoredError sqref="N164 N16 N95 N58 N123:N124 N75 N6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anguage xmlns="9e9b9daf-3621-41a6-acc2-c0bd39099830" xsi:nil="true"/>
    <PublishingExpirationDate xmlns="9e9b9daf-3621-41a6-acc2-c0bd39099830" xsi:nil="true"/>
    <Standort xmlns="9e9b9daf-3621-41a6-acc2-c0bd39099830" xsi:nil="true"/>
    <lcf76f155ced4ddcb4097134ff3c332f xmlns="9e9b9daf-3621-41a6-acc2-c0bd39099830">
      <Terms xmlns="http://schemas.microsoft.com/office/infopath/2007/PartnerControls"/>
    </lcf76f155ced4ddcb4097134ff3c332f>
    <Sprach xmlns="9e9b9daf-3621-41a6-acc2-c0bd39099830" xsi:nil="true"/>
    <TaxCatchAll xmlns="484c8c59-755d-4516-b8d2-1621b38262b4" xsi:nil="true"/>
    <PublishingStartDate xmlns="9e9b9daf-3621-41a6-acc2-c0bd39099830" xsi:nil="true"/>
    <Kategorie xmlns="9e9b9daf-3621-41a6-acc2-c0bd390998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F23963988DE484C82FBBCBC42A7C19C" ma:contentTypeVersion="24" ma:contentTypeDescription="Ein neues Dokument erstellen." ma:contentTypeScope="" ma:versionID="5f2c139fceccc7ddad6eb1f99e7c9377">
  <xsd:schema xmlns:xsd="http://www.w3.org/2001/XMLSchema" xmlns:xs="http://www.w3.org/2001/XMLSchema" xmlns:p="http://schemas.microsoft.com/office/2006/metadata/properties" xmlns:ns2="9e9b9daf-3621-41a6-acc2-c0bd39099830" xmlns:ns3="201a69a4-21dc-4228-8c23-7c9e1bbfc4b8" xmlns:ns4="484c8c59-755d-4516-b8d2-1621b38262b4" targetNamespace="http://schemas.microsoft.com/office/2006/metadata/properties" ma:root="true" ma:fieldsID="05c0152ac0e545bd9f71d5d2cf784b46" ns2:_="" ns3:_="" ns4:_="">
    <xsd:import namespace="9e9b9daf-3621-41a6-acc2-c0bd39099830"/>
    <xsd:import namespace="201a69a4-21dc-4228-8c23-7c9e1bbfc4b8"/>
    <xsd:import namespace="484c8c59-755d-4516-b8d2-1621b38262b4"/>
    <xsd:element name="properties">
      <xsd:complexType>
        <xsd:sequence>
          <xsd:element name="documentManagement">
            <xsd:complexType>
              <xsd:all>
                <xsd:element ref="ns2:PublishingStartDate" minOccurs="0"/>
                <xsd:element ref="ns2:PublishingExpirationDate" minOccurs="0"/>
                <xsd:element ref="ns2:Kategorie" minOccurs="0"/>
                <xsd:element ref="ns2:Standort" minOccurs="0"/>
                <xsd:element ref="ns2:Sprach" minOccurs="0"/>
                <xsd:element ref="ns2:Language"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b9daf-3621-41a6-acc2-c0bd39099830" elementFormDefault="qualified">
    <xsd:import namespace="http://schemas.microsoft.com/office/2006/documentManagement/types"/>
    <xsd:import namespace="http://schemas.microsoft.com/office/infopath/2007/PartnerControls"/>
    <xsd:element name="PublishingStartDate" ma:index="4" nillable="true" ma:displayName="Geplantes Startdatum" ma:description="Geplantes Startdatum ist eine Websitespalte, die über das Feature zum Veröffentlichen erstellt wird. Es wird zur Angabe des Datums und der Uhrzeit verwendet, wann diese Seite Besuchern zum ersten Mal angezeigt wird." ma:format="DateTime" ma:internalName="PublishingStartDate" ma:readOnly="false">
      <xsd:simpleType>
        <xsd:restriction base="dms:Unknown"/>
      </xsd:simpleType>
    </xsd:element>
    <xsd:element name="PublishingExpirationDate" ma:index="5" nillable="true" ma:displayName="Geplantes Enddatum" ma:description="Geplantes Enddatum ist eine Websitespalte, die über das Feature zum Veröffentlichen erstellt wird. Es wird zur Angabe des Datums und der Uhrzeit verwendet, wann diese Seite Besuchern nicht mehr angezeigt wird." ma:format="DateTime" ma:internalName="PublishingExpirationDate" ma:readOnly="false">
      <xsd:simpleType>
        <xsd:restriction base="dms:Unknown"/>
      </xsd:simpleType>
    </xsd:element>
    <xsd:element name="Kategorie" ma:index="6" nillable="true" ma:displayName="Kategorie" ma:internalName="Kategorie" ma:readOnly="false">
      <xsd:simpleType>
        <xsd:restriction base="dms:Text">
          <xsd:maxLength value="255"/>
        </xsd:restriction>
      </xsd:simpleType>
    </xsd:element>
    <xsd:element name="Standort" ma:index="7" nillable="true" ma:displayName="Standort" ma:internalName="Standort" ma:readOnly="false">
      <xsd:simpleType>
        <xsd:restriction base="dms:Text">
          <xsd:maxLength value="255"/>
        </xsd:restriction>
      </xsd:simpleType>
    </xsd:element>
    <xsd:element name="Sprach" ma:index="8" nillable="true" ma:displayName="Sprach" ma:description="Deutsch&#10;English" ma:internalName="Sprach" ma:readOnly="false">
      <xsd:simpleType>
        <xsd:restriction base="dms:Text">
          <xsd:maxLength value="255"/>
        </xsd:restriction>
      </xsd:simpleType>
    </xsd:element>
    <xsd:element name="Language" ma:index="9" nillable="true" ma:displayName="Language" ma:description="Deutsch&#10;English" ma:internalName="Language" ma:readOnly="false">
      <xsd:simpleType>
        <xsd:restriction base="dms:Text">
          <xsd:maxLength value="255"/>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1a69a4-21dc-4228-8c23-7c9e1bbfc4b8"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4c8c59-755d-4516-b8d2-1621b38262b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caf284d-c1e5-43fc-b015-07e76d5a51eb}" ma:internalName="TaxCatchAll" ma:showField="CatchAllData" ma:web="201a69a4-21dc-4228-8c23-7c9e1bbfc4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Inhaltstyp"/>
        <xsd:element ref="dc:title" minOccurs="0" maxOccurs="1" ma:index="3"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339625-ED0C-4F17-A4CE-320CF0DBD9F6}"/>
</file>

<file path=customXml/itemProps2.xml><?xml version="1.0" encoding="utf-8"?>
<ds:datastoreItem xmlns:ds="http://schemas.openxmlformats.org/officeDocument/2006/customXml" ds:itemID="{73F8C31C-FBCC-4630-A387-D2C22D04A64B}"/>
</file>

<file path=customXml/itemProps3.xml><?xml version="1.0" encoding="utf-8"?>
<ds:datastoreItem xmlns:ds="http://schemas.openxmlformats.org/officeDocument/2006/customXml" ds:itemID="{B5D15E09-AF8C-4772-9EE2-3DC9CAD72462}"/>
</file>

<file path=docProps/app.xml><?xml version="1.0" encoding="utf-8"?>
<Properties xmlns="http://schemas.openxmlformats.org/officeDocument/2006/extended-properties" xmlns:vt="http://schemas.openxmlformats.org/officeDocument/2006/docPropsVTypes">
  <Application>Microsoft Excel Online</Application>
  <Manager/>
  <Company>Fachhochschule Nordwestschweiz</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Trachsel</dc:creator>
  <cp:keywords/>
  <dc:description/>
  <cp:lastModifiedBy>Yuk Lam Huang</cp:lastModifiedBy>
  <cp:revision/>
  <dcterms:created xsi:type="dcterms:W3CDTF">2024-01-31T11:32:33Z</dcterms:created>
  <dcterms:modified xsi:type="dcterms:W3CDTF">2026-01-12T17:12:49Z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0x0101006F23963988DE484C82FBBCBC42A7C19C</vt:lpwstr>
  </property>
  <property fmtid="{D5CDD505-2E9C-101B-9397-08002B2CF9AE}" pid="3" name="MediaServiceImageTags">
    <vt:lpwstr/>
  </property>
</Properties>
</file>